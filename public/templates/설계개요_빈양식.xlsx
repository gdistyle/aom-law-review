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T-4(jsl)" sheetId="1" state="visible" r:id="rId3"/>
    <sheet name="ALT-3(osl)" sheetId="2" state="hidden" r:id="rId4"/>
    <sheet name="ALT-2" sheetId="3" state="hidden" r:id="rId5"/>
    <sheet name="ALT-1개요표" sheetId="4" state="hidden" r:id="rId6"/>
    <sheet name="ALT-1 (3)" sheetId="5" state="hidden" r:id="rId7"/>
    <sheet name="토지내역" sheetId="6" state="visible" r:id="rId8"/>
    <sheet name="Sheet1" sheetId="7" state="visible" r:id="rId9"/>
    <sheet name="지상2층 면적표" sheetId="8" state="visible" r:id="rId10"/>
    <sheet name="생태면적산출근거" sheetId="9" state="visible" r:id="rId11"/>
    <sheet name="다락층산정(지붕)" sheetId="10" state="visible" r:id="rId12"/>
    <sheet name="생태면적" sheetId="11" state="visible" r:id="rId13"/>
  </sheets>
  <definedNames>
    <definedName function="false" hidden="false" localSheetId="4" name="_xlnm.Print_Area" vbProcedure="false">'ALT-1 (3)'!$B$5:$AD$60</definedName>
    <definedName function="false" hidden="false" localSheetId="3" name="_xlnm.Print_Area" vbProcedure="false">'ALT-1개요표'!$B$5:$AD$60</definedName>
    <definedName function="false" hidden="false" localSheetId="2" name="_xlnm.Print_Area" vbProcedure="false">'ALT-2'!$B$5:$AD$60</definedName>
    <definedName function="false" hidden="false" localSheetId="1" name="_xlnm.Print_Area" vbProcedure="false">'ALT-3(osl)'!$B$5:$AD$60</definedName>
    <definedName function="false" hidden="false" localSheetId="0" name="_xlnm.Print_Area" vbProcedure="false">'ALT-4(jsl)'!$B$5:$AD$60</definedName>
    <definedName function="false" hidden="false" name="_xlfn__FV" vbProcedure="false"/>
  </definedNames>
  <calcPr iterateCount="100" refMode="A1" iterate="false" iterateDelta="0.001" fullCalcOnLoad="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34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khchoi:
</t>
        </r>
        <r>
          <rPr>
            <sz val="9"/>
            <color rgb="FF000000"/>
            <rFont val="Noto Sans CJK SC"/>
            <family val="2"/>
          </rPr>
          <t xml:space="preserve">연면적의 합계가 </t>
        </r>
        <r>
          <rPr>
            <sz val="9"/>
            <color rgb="FF000000"/>
            <rFont val="굴림"/>
            <family val="3"/>
            <charset val="129"/>
          </rPr>
          <t xml:space="preserve">2000m2</t>
        </r>
        <r>
          <rPr>
            <sz val="9"/>
            <color rgb="FF000000"/>
            <rFont val="Noto Sans CJK SC"/>
            <family val="2"/>
          </rPr>
          <t xml:space="preserve">이상일때
</t>
        </r>
        <r>
          <rPr>
            <sz val="9"/>
            <color rgb="FF000000"/>
            <rFont val="굴림"/>
            <family val="3"/>
            <charset val="129"/>
          </rPr>
          <t xml:space="preserve">15%</t>
        </r>
        <r>
          <rPr>
            <sz val="9"/>
            <color rgb="FF000000"/>
            <rFont val="Noto Sans CJK SC"/>
            <family val="2"/>
          </rPr>
          <t xml:space="preserve">이상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46</xdr:colOff>
                <xdr:row>31</xdr:row>
                <xdr:rowOff>0</xdr:rowOff>
              </xdr:from>
              <xdr:to>
                <xdr:col>6</xdr:col>
                <xdr:colOff>0</xdr:colOff>
                <xdr:row>34</xdr:row>
                <xdr:rowOff>32</xdr:rowOff>
              </xdr:to>
            </anchor>
          </commentPr>
        </mc:Choice>
        <mc:Fallback/>
      </mc:AlternateContent>
    </comment>
    <comment ref="B37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khchoi: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46</xdr:colOff>
                <xdr:row>35</xdr:row>
                <xdr:rowOff>0</xdr:rowOff>
              </xdr:from>
              <xdr:to>
                <xdr:col>7</xdr:col>
                <xdr:colOff>0</xdr:colOff>
                <xdr:row>36</xdr:row>
                <xdr:rowOff>0</xdr:rowOff>
              </xdr:to>
            </anchor>
          </commentPr>
        </mc:Choice>
        <mc:Fallback/>
      </mc:AlternateContent>
    </comment>
    <comment ref="E27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khchoi:
</t>
        </r>
        <r>
          <rPr>
            <sz val="9"/>
            <color rgb="FF000000"/>
            <rFont val="Noto Sans CJK SC"/>
            <family val="2"/>
          </rPr>
          <t xml:space="preserve">시설면적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45</xdr:colOff>
                <xdr:row>27</xdr:row>
                <xdr:rowOff>0</xdr:rowOff>
              </xdr:from>
              <xdr:to>
                <xdr:col>7</xdr:col>
                <xdr:colOff>0</xdr:colOff>
                <xdr:row>29</xdr:row>
                <xdr:rowOff>18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34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khchoi:
</t>
        </r>
        <r>
          <rPr>
            <sz val="9"/>
            <color rgb="FF000000"/>
            <rFont val="Noto Sans CJK SC"/>
            <family val="2"/>
          </rPr>
          <t xml:space="preserve">연면적의 합계가 </t>
        </r>
        <r>
          <rPr>
            <sz val="9"/>
            <color rgb="FF000000"/>
            <rFont val="굴림"/>
            <family val="3"/>
            <charset val="129"/>
          </rPr>
          <t xml:space="preserve">2000m2</t>
        </r>
        <r>
          <rPr>
            <sz val="9"/>
            <color rgb="FF000000"/>
            <rFont val="Noto Sans CJK SC"/>
            <family val="2"/>
          </rPr>
          <t xml:space="preserve">이상일때
</t>
        </r>
        <r>
          <rPr>
            <sz val="9"/>
            <color rgb="FF000000"/>
            <rFont val="굴림"/>
            <family val="3"/>
            <charset val="129"/>
          </rPr>
          <t xml:space="preserve">15%</t>
        </r>
        <r>
          <rPr>
            <sz val="9"/>
            <color rgb="FF000000"/>
            <rFont val="Noto Sans CJK SC"/>
            <family val="2"/>
          </rPr>
          <t xml:space="preserve">이상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46</xdr:colOff>
                <xdr:row>31</xdr:row>
                <xdr:rowOff>0</xdr:rowOff>
              </xdr:from>
              <xdr:to>
                <xdr:col>6</xdr:col>
                <xdr:colOff>0</xdr:colOff>
                <xdr:row>34</xdr:row>
                <xdr:rowOff>32</xdr:rowOff>
              </xdr:to>
            </anchor>
          </commentPr>
        </mc:Choice>
        <mc:Fallback/>
      </mc:AlternateContent>
    </comment>
    <comment ref="B37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khchoi: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46</xdr:colOff>
                <xdr:row>35</xdr:row>
                <xdr:rowOff>0</xdr:rowOff>
              </xdr:from>
              <xdr:to>
                <xdr:col>7</xdr:col>
                <xdr:colOff>0</xdr:colOff>
                <xdr:row>36</xdr:row>
                <xdr:rowOff>0</xdr:rowOff>
              </xdr:to>
            </anchor>
          </commentPr>
        </mc:Choice>
        <mc:Fallback/>
      </mc:AlternateContent>
    </comment>
    <comment ref="E27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khchoi:
</t>
        </r>
        <r>
          <rPr>
            <sz val="9"/>
            <color rgb="FF000000"/>
            <rFont val="Noto Sans CJK SC"/>
            <family val="2"/>
          </rPr>
          <t xml:space="preserve">시설면적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45</xdr:colOff>
                <xdr:row>27</xdr:row>
                <xdr:rowOff>0</xdr:rowOff>
              </xdr:from>
              <xdr:to>
                <xdr:col>6</xdr:col>
                <xdr:colOff>147</xdr:colOff>
                <xdr:row>29</xdr:row>
                <xdr:rowOff>18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34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khchoi:
</t>
        </r>
        <r>
          <rPr>
            <sz val="9"/>
            <color rgb="FF000000"/>
            <rFont val="Noto Sans CJK SC"/>
            <family val="2"/>
          </rPr>
          <t xml:space="preserve">연면적의 합계가 </t>
        </r>
        <r>
          <rPr>
            <sz val="9"/>
            <color rgb="FF000000"/>
            <rFont val="굴림"/>
            <family val="3"/>
            <charset val="129"/>
          </rPr>
          <t xml:space="preserve">2000m2</t>
        </r>
        <r>
          <rPr>
            <sz val="9"/>
            <color rgb="FF000000"/>
            <rFont val="Noto Sans CJK SC"/>
            <family val="2"/>
          </rPr>
          <t xml:space="preserve">이상일때
</t>
        </r>
        <r>
          <rPr>
            <sz val="9"/>
            <color rgb="FF000000"/>
            <rFont val="굴림"/>
            <family val="3"/>
            <charset val="129"/>
          </rPr>
          <t xml:space="preserve">15%</t>
        </r>
        <r>
          <rPr>
            <sz val="9"/>
            <color rgb="FF000000"/>
            <rFont val="Noto Sans CJK SC"/>
            <family val="2"/>
          </rPr>
          <t xml:space="preserve">이상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46</xdr:colOff>
                <xdr:row>31</xdr:row>
                <xdr:rowOff>0</xdr:rowOff>
              </xdr:from>
              <xdr:to>
                <xdr:col>6</xdr:col>
                <xdr:colOff>0</xdr:colOff>
                <xdr:row>34</xdr:row>
                <xdr:rowOff>32</xdr:rowOff>
              </xdr:to>
            </anchor>
          </commentPr>
        </mc:Choice>
        <mc:Fallback/>
      </mc:AlternateContent>
    </comment>
    <comment ref="B37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khchoi: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46</xdr:colOff>
                <xdr:row>35</xdr:row>
                <xdr:rowOff>0</xdr:rowOff>
              </xdr:from>
              <xdr:to>
                <xdr:col>7</xdr:col>
                <xdr:colOff>0</xdr:colOff>
                <xdr:row>36</xdr:row>
                <xdr:rowOff>0</xdr:rowOff>
              </xdr:to>
            </anchor>
          </commentPr>
        </mc:Choice>
        <mc:Fallback/>
      </mc:AlternateContent>
    </comment>
    <comment ref="E27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khchoi:
</t>
        </r>
        <r>
          <rPr>
            <sz val="9"/>
            <color rgb="FF000000"/>
            <rFont val="Noto Sans CJK SC"/>
            <family val="2"/>
          </rPr>
          <t xml:space="preserve">시설면적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45</xdr:colOff>
                <xdr:row>27</xdr:row>
                <xdr:rowOff>0</xdr:rowOff>
              </xdr:from>
              <xdr:to>
                <xdr:col>6</xdr:col>
                <xdr:colOff>147</xdr:colOff>
                <xdr:row>29</xdr:row>
                <xdr:rowOff>18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34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khchoi:
</t>
        </r>
        <r>
          <rPr>
            <sz val="9"/>
            <color rgb="FF000000"/>
            <rFont val="Noto Sans CJK SC"/>
            <family val="2"/>
          </rPr>
          <t xml:space="preserve">연면적의 합계가 </t>
        </r>
        <r>
          <rPr>
            <sz val="9"/>
            <color rgb="FF000000"/>
            <rFont val="굴림"/>
            <family val="3"/>
            <charset val="129"/>
          </rPr>
          <t xml:space="preserve">2000m2</t>
        </r>
        <r>
          <rPr>
            <sz val="9"/>
            <color rgb="FF000000"/>
            <rFont val="Noto Sans CJK SC"/>
            <family val="2"/>
          </rPr>
          <t xml:space="preserve">이상일때
</t>
        </r>
        <r>
          <rPr>
            <sz val="9"/>
            <color rgb="FF000000"/>
            <rFont val="굴림"/>
            <family val="3"/>
            <charset val="129"/>
          </rPr>
          <t xml:space="preserve">15%</t>
        </r>
        <r>
          <rPr>
            <sz val="9"/>
            <color rgb="FF000000"/>
            <rFont val="Noto Sans CJK SC"/>
            <family val="2"/>
          </rPr>
          <t xml:space="preserve">이상</t>
        </r>
      </text>
      <mc:AlternateContent>
        <mc:Choice Requires="v2">
          <commentPr autoFill="true" autoScale="false" colHidden="false" locked="false" rowHidden="true" textHAlign="justify" textVAlign="top">
            <anchor moveWithCells="false" sizeWithCells="false">
              <xdr:from>
                <xdr:col>2</xdr:col>
                <xdr:colOff>46</xdr:colOff>
                <xdr:row>68</xdr:row>
                <xdr:rowOff>6</xdr:rowOff>
              </xdr:from>
              <xdr:to>
                <xdr:col>6</xdr:col>
                <xdr:colOff>0</xdr:colOff>
                <xdr:row>74</xdr:row>
                <xdr:rowOff>21</xdr:rowOff>
              </xdr:to>
            </anchor>
          </commentPr>
        </mc:Choice>
        <mc:Fallback/>
      </mc:AlternateContent>
    </comment>
    <comment ref="B37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khchoi: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46</xdr:colOff>
                <xdr:row>75</xdr:row>
                <xdr:rowOff>0</xdr:rowOff>
              </xdr:from>
              <xdr:to>
                <xdr:col>7</xdr:col>
                <xdr:colOff>0</xdr:colOff>
                <xdr:row>76</xdr:row>
                <xdr:rowOff>9</xdr:rowOff>
              </xdr:to>
            </anchor>
          </commentPr>
        </mc:Choice>
        <mc:Fallback/>
      </mc:AlternateContent>
    </comment>
    <comment ref="E27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khchoi:
</t>
        </r>
        <r>
          <rPr>
            <sz val="9"/>
            <color rgb="FF000000"/>
            <rFont val="Noto Sans CJK SC"/>
            <family val="2"/>
          </rPr>
          <t xml:space="preserve">시설면적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45</xdr:colOff>
                <xdr:row>62</xdr:row>
                <xdr:rowOff>14</xdr:rowOff>
              </xdr:from>
              <xdr:to>
                <xdr:col>6</xdr:col>
                <xdr:colOff>147</xdr:colOff>
                <xdr:row>66</xdr:row>
                <xdr:rowOff>1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34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khchoi:
</t>
        </r>
        <r>
          <rPr>
            <sz val="9"/>
            <color rgb="FF000000"/>
            <rFont val="Noto Sans CJK SC"/>
            <family val="2"/>
          </rPr>
          <t xml:space="preserve">연면적의 합계가 </t>
        </r>
        <r>
          <rPr>
            <sz val="9"/>
            <color rgb="FF000000"/>
            <rFont val="굴림"/>
            <family val="3"/>
            <charset val="129"/>
          </rPr>
          <t xml:space="preserve">2000m2</t>
        </r>
        <r>
          <rPr>
            <sz val="9"/>
            <color rgb="FF000000"/>
            <rFont val="Noto Sans CJK SC"/>
            <family val="2"/>
          </rPr>
          <t xml:space="preserve">이상일때
</t>
        </r>
        <r>
          <rPr>
            <sz val="9"/>
            <color rgb="FF000000"/>
            <rFont val="굴림"/>
            <family val="3"/>
            <charset val="129"/>
          </rPr>
          <t xml:space="preserve">15%</t>
        </r>
        <r>
          <rPr>
            <sz val="9"/>
            <color rgb="FF000000"/>
            <rFont val="Noto Sans CJK SC"/>
            <family val="2"/>
          </rPr>
          <t xml:space="preserve">이상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46</xdr:colOff>
                <xdr:row>31</xdr:row>
                <xdr:rowOff>0</xdr:rowOff>
              </xdr:from>
              <xdr:to>
                <xdr:col>6</xdr:col>
                <xdr:colOff>0</xdr:colOff>
                <xdr:row>34</xdr:row>
                <xdr:rowOff>32</xdr:rowOff>
              </xdr:to>
            </anchor>
          </commentPr>
        </mc:Choice>
        <mc:Fallback/>
      </mc:AlternateContent>
    </comment>
    <comment ref="B37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khchoi: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46</xdr:colOff>
                <xdr:row>35</xdr:row>
                <xdr:rowOff>0</xdr:rowOff>
              </xdr:from>
              <xdr:to>
                <xdr:col>7</xdr:col>
                <xdr:colOff>0</xdr:colOff>
                <xdr:row>36</xdr:row>
                <xdr:rowOff>0</xdr:rowOff>
              </xdr:to>
            </anchor>
          </commentPr>
        </mc:Choice>
        <mc:Fallback/>
      </mc:AlternateContent>
    </comment>
    <comment ref="E27" authorId="0">
      <text>
        <r>
          <rPr>
            <b val="true"/>
            <sz val="9"/>
            <color rgb="FF000000"/>
            <rFont val="굴림"/>
            <family val="3"/>
            <charset val="129"/>
          </rPr>
          <t xml:space="preserve">khchoi:
</t>
        </r>
        <r>
          <rPr>
            <sz val="9"/>
            <color rgb="FF000000"/>
            <rFont val="Noto Sans CJK SC"/>
            <family val="2"/>
          </rPr>
          <t xml:space="preserve">시설면적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45</xdr:colOff>
                <xdr:row>27</xdr:row>
                <xdr:rowOff>0</xdr:rowOff>
              </xdr:from>
              <xdr:to>
                <xdr:col>6</xdr:col>
                <xdr:colOff>147</xdr:colOff>
                <xdr:row>29</xdr:row>
                <xdr:rowOff>18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<sst xmlns="http://schemas.openxmlformats.org/spreadsheetml/2006/main" count="790" uniqueCount="152">
  <si>
    <t xml:space="preserve">sqm</t>
  </si>
  <si>
    <t xml:space="preserve">py</t>
  </si>
  <si>
    <t xml:space="preserve">법정최대건축면적</t>
  </si>
  <si>
    <t xml:space="preserve">법정최대연면적</t>
  </si>
  <si>
    <t xml:space="preserve">2022-10-25-OSL1</t>
  </si>
  <si>
    <t xml:space="preserve">■ 설계개요</t>
  </si>
  <si>
    <r>
      <rPr>
        <b val="true"/>
        <sz val="12"/>
        <rFont val="맑은 고딕"/>
        <family val="3"/>
        <charset val="129"/>
      </rPr>
      <t xml:space="preserve">ALT-1 [</t>
    </r>
    <r>
      <rPr>
        <b val="true"/>
        <sz val="12"/>
        <rFont val="맑은 고딕"/>
        <family val="2"/>
      </rPr>
      <t xml:space="preserve">상가주택</t>
    </r>
    <r>
      <rPr>
        <b val="true"/>
        <sz val="12"/>
        <rFont val="맑은 고딕"/>
        <family val="3"/>
        <charset val="129"/>
      </rPr>
      <t xml:space="preserve">] </t>
    </r>
  </si>
  <si>
    <r>
      <rPr>
        <sz val="12"/>
        <rFont val="맑은 고딕"/>
        <family val="2"/>
      </rPr>
      <t xml:space="preserve">■ 층별면적표 </t>
    </r>
    <r>
      <rPr>
        <sz val="12"/>
        <rFont val="맑은 고딕"/>
        <family val="3"/>
        <charset val="129"/>
      </rPr>
      <t xml:space="preserve">(</t>
    </r>
    <r>
      <rPr>
        <sz val="12"/>
        <rFont val="맑은 고딕"/>
        <family val="2"/>
      </rPr>
      <t xml:space="preserve">층고 </t>
    </r>
    <r>
      <rPr>
        <sz val="12"/>
        <rFont val="맑은 고딕"/>
        <family val="3"/>
        <charset val="129"/>
      </rPr>
      <t xml:space="preserve">3M)</t>
    </r>
  </si>
  <si>
    <r>
      <rPr>
        <sz val="12"/>
        <rFont val="맑은 고딕"/>
        <family val="2"/>
      </rPr>
      <t xml:space="preserve">단위 </t>
    </r>
    <r>
      <rPr>
        <sz val="12"/>
        <rFont val="맑은 고딕"/>
        <family val="3"/>
        <charset val="129"/>
      </rPr>
      <t xml:space="preserve">: </t>
    </r>
    <r>
      <rPr>
        <sz val="12"/>
        <rFont val="맑은 고딕"/>
        <family val="2"/>
      </rPr>
      <t xml:space="preserve">㎡</t>
    </r>
  </si>
  <si>
    <t xml:space="preserve">공사명</t>
  </si>
  <si>
    <r>
      <rPr>
        <sz val="12"/>
        <rFont val="맑은 고딕"/>
        <family val="2"/>
      </rPr>
      <t xml:space="preserve">위례신도시 </t>
    </r>
    <r>
      <rPr>
        <sz val="12"/>
        <rFont val="맑은 고딕"/>
        <family val="3"/>
        <charset val="129"/>
      </rPr>
      <t xml:space="preserve">D1-2-4-1</t>
    </r>
    <r>
      <rPr>
        <sz val="12"/>
        <rFont val="맑은 고딕"/>
        <family val="2"/>
      </rPr>
      <t xml:space="preserve">구역</t>
    </r>
  </si>
  <si>
    <t xml:space="preserve">근린생활시설</t>
  </si>
  <si>
    <t xml:space="preserve">다가구</t>
  </si>
  <si>
    <t xml:space="preserve">공용</t>
  </si>
  <si>
    <t xml:space="preserve">계</t>
  </si>
  <si>
    <t xml:space="preserve">-</t>
  </si>
  <si>
    <r>
      <rPr>
        <sz val="12"/>
        <rFont val="맑은 고딕"/>
        <family val="2"/>
      </rPr>
      <t xml:space="preserve">기계</t>
    </r>
    <r>
      <rPr>
        <sz val="12"/>
        <rFont val="맑은 고딕"/>
        <family val="3"/>
        <charset val="129"/>
      </rPr>
      <t xml:space="preserve">/</t>
    </r>
    <r>
      <rPr>
        <sz val="12"/>
        <rFont val="맑은 고딕"/>
        <family val="2"/>
      </rPr>
      <t xml:space="preserve">전기실</t>
    </r>
  </si>
  <si>
    <t xml:space="preserve">주차장</t>
  </si>
  <si>
    <r>
      <rPr>
        <sz val="12"/>
        <rFont val="맑은 고딕"/>
        <family val="2"/>
      </rPr>
      <t xml:space="preserve">부대시설
</t>
    </r>
    <r>
      <rPr>
        <sz val="12"/>
        <rFont val="맑은 고딕"/>
        <family val="3"/>
        <charset val="129"/>
      </rPr>
      <t xml:space="preserve">(</t>
    </r>
    <r>
      <rPr>
        <sz val="12"/>
        <rFont val="맑은 고딕"/>
        <family val="2"/>
      </rPr>
      <t xml:space="preserve">관리사무실</t>
    </r>
    <r>
      <rPr>
        <sz val="12"/>
        <rFont val="맑은 고딕"/>
        <family val="3"/>
        <charset val="129"/>
      </rPr>
      <t xml:space="preserve">)</t>
    </r>
  </si>
  <si>
    <t xml:space="preserve">합계</t>
  </si>
  <si>
    <t xml:space="preserve">비고</t>
  </si>
  <si>
    <t xml:space="preserve">대지현황</t>
  </si>
  <si>
    <t xml:space="preserve">대지위치</t>
  </si>
  <si>
    <t xml:space="preserve">SQM</t>
  </si>
  <si>
    <t xml:space="preserve">PY</t>
  </si>
  <si>
    <t xml:space="preserve">전용</t>
  </si>
  <si>
    <t xml:space="preserve">대지면적</t>
  </si>
  <si>
    <t xml:space="preserve">공제면적</t>
  </si>
  <si>
    <t xml:space="preserve">주차대수</t>
  </si>
  <si>
    <r>
      <rPr>
        <sz val="12"/>
        <rFont val="맑은 고딕"/>
        <family val="2"/>
      </rPr>
      <t xml:space="preserve">지역</t>
    </r>
    <r>
      <rPr>
        <sz val="12"/>
        <rFont val="맑은 고딕"/>
        <family val="3"/>
        <charset val="129"/>
      </rPr>
      <t xml:space="preserve">/</t>
    </r>
    <r>
      <rPr>
        <sz val="12"/>
        <rFont val="맑은 고딕"/>
        <family val="2"/>
      </rPr>
      <t xml:space="preserve">지구</t>
    </r>
  </si>
  <si>
    <t xml:space="preserve">도로현황</t>
  </si>
  <si>
    <t xml:space="preserve">건설규모</t>
  </si>
  <si>
    <t xml:space="preserve">용도</t>
  </si>
  <si>
    <r>
      <rPr>
        <sz val="12"/>
        <rFont val="맑은 고딕"/>
        <family val="2"/>
      </rPr>
      <t xml:space="preserve">근린생활시설</t>
    </r>
    <r>
      <rPr>
        <sz val="12"/>
        <rFont val="맑은 고딕"/>
        <family val="3"/>
        <charset val="129"/>
      </rPr>
      <t xml:space="preserve">, </t>
    </r>
    <r>
      <rPr>
        <sz val="12"/>
        <rFont val="맑은 고딕"/>
        <family val="2"/>
      </rPr>
      <t xml:space="preserve">다가구주택</t>
    </r>
  </si>
  <si>
    <t xml:space="preserve">규모</t>
  </si>
  <si>
    <r>
      <rPr>
        <sz val="12"/>
        <rFont val="맑은 고딕"/>
        <family val="2"/>
      </rPr>
      <t xml:space="preserve">지하</t>
    </r>
    <r>
      <rPr>
        <sz val="12"/>
        <rFont val="맑은 고딕"/>
        <family val="3"/>
        <charset val="129"/>
      </rPr>
      <t xml:space="preserve">1</t>
    </r>
    <r>
      <rPr>
        <sz val="12"/>
        <rFont val="맑은 고딕"/>
        <family val="2"/>
      </rPr>
      <t xml:space="preserve">층</t>
    </r>
    <r>
      <rPr>
        <sz val="12"/>
        <rFont val="맑은 고딕"/>
        <family val="3"/>
        <charset val="129"/>
      </rPr>
      <t xml:space="preserve">, </t>
    </r>
    <r>
      <rPr>
        <sz val="12"/>
        <rFont val="맑은 고딕"/>
        <family val="2"/>
      </rPr>
      <t xml:space="preserve">지상</t>
    </r>
    <r>
      <rPr>
        <sz val="12"/>
        <rFont val="맑은 고딕"/>
        <family val="3"/>
        <charset val="129"/>
      </rPr>
      <t xml:space="preserve">4</t>
    </r>
    <r>
      <rPr>
        <sz val="12"/>
        <rFont val="맑은 고딕"/>
        <family val="2"/>
      </rPr>
      <t xml:space="preserve">층</t>
    </r>
  </si>
  <si>
    <t xml:space="preserve">건축면적</t>
  </si>
  <si>
    <t xml:space="preserve">연면적</t>
  </si>
  <si>
    <t xml:space="preserve">지상</t>
  </si>
  <si>
    <t xml:space="preserve">지하</t>
  </si>
  <si>
    <t xml:space="preserve">전체</t>
  </si>
  <si>
    <t xml:space="preserve">벽체공용</t>
  </si>
  <si>
    <t xml:space="preserve">건폐율</t>
  </si>
  <si>
    <r>
      <rPr>
        <sz val="12"/>
        <rFont val="맑은 고딕"/>
        <family val="2"/>
      </rPr>
      <t xml:space="preserve">법정</t>
    </r>
    <r>
      <rPr>
        <sz val="12"/>
        <rFont val="맑은 고딕"/>
        <family val="3"/>
        <charset val="129"/>
      </rPr>
      <t xml:space="preserve">:</t>
    </r>
  </si>
  <si>
    <t xml:space="preserve">A</t>
  </si>
  <si>
    <t xml:space="preserve">용적율</t>
  </si>
  <si>
    <r>
      <rPr>
        <sz val="12"/>
        <rFont val="맑은 고딕"/>
        <family val="3"/>
        <charset val="129"/>
      </rPr>
      <t xml:space="preserve">4</t>
    </r>
    <r>
      <rPr>
        <sz val="12"/>
        <rFont val="맑은 고딕"/>
        <family val="2"/>
      </rPr>
      <t xml:space="preserve">층</t>
    </r>
  </si>
  <si>
    <r>
      <rPr>
        <sz val="12"/>
        <rFont val="맑은 고딕"/>
        <family val="3"/>
        <charset val="129"/>
      </rPr>
      <t xml:space="preserve">1</t>
    </r>
    <r>
      <rPr>
        <sz val="12"/>
        <rFont val="맑은 고딕"/>
        <family val="2"/>
      </rPr>
      <t xml:space="preserve">가구</t>
    </r>
  </si>
  <si>
    <t xml:space="preserve">주차시설</t>
  </si>
  <si>
    <t xml:space="preserve">법정</t>
  </si>
  <si>
    <t xml:space="preserve">주택</t>
  </si>
  <si>
    <t xml:space="preserve">근생</t>
  </si>
  <si>
    <r>
      <rPr>
        <sz val="12"/>
        <rFont val="맑은 고딕"/>
        <family val="2"/>
      </rPr>
      <t xml:space="preserve">제</t>
    </r>
    <r>
      <rPr>
        <sz val="12"/>
        <rFont val="맑은 고딕"/>
        <family val="3"/>
        <charset val="129"/>
      </rPr>
      <t xml:space="preserve">1</t>
    </r>
    <r>
      <rPr>
        <sz val="12"/>
        <rFont val="맑은 고딕"/>
        <family val="2"/>
      </rPr>
      <t xml:space="preserve">종근린생활시설</t>
    </r>
    <r>
      <rPr>
        <sz val="12"/>
        <rFont val="맑은 고딕"/>
        <family val="3"/>
        <charset val="129"/>
      </rPr>
      <t xml:space="preserve">(</t>
    </r>
    <r>
      <rPr>
        <sz val="12"/>
        <rFont val="맑은 고딕"/>
        <family val="2"/>
      </rPr>
      <t xml:space="preserve">휴게음식점</t>
    </r>
    <r>
      <rPr>
        <sz val="12"/>
        <rFont val="맑은 고딕"/>
        <family val="3"/>
        <charset val="129"/>
      </rPr>
      <t xml:space="preserve">)</t>
    </r>
  </si>
  <si>
    <t xml:space="preserve">지상층계</t>
  </si>
  <si>
    <r>
      <rPr>
        <sz val="10"/>
        <rFont val="맑은 고딕"/>
        <family val="2"/>
      </rPr>
      <t xml:space="preserve">제</t>
    </r>
    <r>
      <rPr>
        <sz val="10"/>
        <rFont val="맑은 고딕"/>
        <family val="3"/>
        <charset val="129"/>
      </rPr>
      <t xml:space="preserve">2</t>
    </r>
    <r>
      <rPr>
        <sz val="10"/>
        <rFont val="맑은 고딕"/>
        <family val="2"/>
      </rPr>
      <t xml:space="preserve">종근린생활시설</t>
    </r>
    <r>
      <rPr>
        <sz val="10"/>
        <rFont val="맑은 고딕"/>
        <family val="3"/>
        <charset val="129"/>
      </rPr>
      <t xml:space="preserve">(</t>
    </r>
    <r>
      <rPr>
        <sz val="10"/>
        <rFont val="맑은 고딕"/>
        <family val="2"/>
      </rPr>
      <t xml:space="preserve">사무소</t>
    </r>
    <r>
      <rPr>
        <sz val="10"/>
        <rFont val="맑은 고딕"/>
        <family val="3"/>
        <charset val="129"/>
      </rPr>
      <t xml:space="preserve">),</t>
    </r>
    <r>
      <rPr>
        <sz val="10"/>
        <rFont val="맑은 고딕"/>
        <family val="2"/>
      </rPr>
      <t xml:space="preserve">주택</t>
    </r>
    <r>
      <rPr>
        <sz val="10"/>
        <rFont val="맑은 고딕"/>
        <family val="3"/>
        <charset val="129"/>
      </rPr>
      <t xml:space="preserve">(</t>
    </r>
    <r>
      <rPr>
        <sz val="10"/>
        <rFont val="맑은 고딕"/>
        <family val="2"/>
      </rPr>
      <t xml:space="preserve">창고</t>
    </r>
    <r>
      <rPr>
        <sz val="10"/>
        <rFont val="맑은 고딕"/>
        <family val="3"/>
        <charset val="129"/>
      </rPr>
      <t xml:space="preserve">)</t>
    </r>
  </si>
  <si>
    <t xml:space="preserve">계획</t>
  </si>
  <si>
    <t xml:space="preserve">자주식 주차</t>
  </si>
  <si>
    <t xml:space="preserve">조경면적</t>
  </si>
  <si>
    <t xml:space="preserve">지하층계</t>
  </si>
  <si>
    <t xml:space="preserve">커뮤니티</t>
  </si>
  <si>
    <t xml:space="preserve">■ 용도별면적표</t>
  </si>
  <si>
    <r>
      <rPr>
        <sz val="12"/>
        <rFont val="맑은 고딕"/>
        <family val="2"/>
      </rPr>
      <t xml:space="preserve">단위 </t>
    </r>
    <r>
      <rPr>
        <sz val="12"/>
        <rFont val="맑은 고딕"/>
        <family val="3"/>
        <charset val="129"/>
      </rPr>
      <t xml:space="preserve">: </t>
    </r>
    <r>
      <rPr>
        <sz val="12"/>
        <rFont val="맑은 고딕"/>
        <family val="2"/>
      </rPr>
      <t xml:space="preserve">㎡ </t>
    </r>
    <r>
      <rPr>
        <sz val="12"/>
        <rFont val="맑은 고딕"/>
        <family val="3"/>
        <charset val="129"/>
      </rPr>
      <t xml:space="preserve">(</t>
    </r>
    <r>
      <rPr>
        <sz val="12"/>
        <rFont val="맑은 고딕"/>
        <family val="2"/>
      </rPr>
      <t xml:space="preserve">평</t>
    </r>
    <r>
      <rPr>
        <sz val="12"/>
        <rFont val="맑은 고딕"/>
        <family val="3"/>
        <charset val="129"/>
      </rPr>
      <t xml:space="preserve">)</t>
    </r>
  </si>
  <si>
    <t xml:space="preserve">구    분</t>
  </si>
  <si>
    <t xml:space="preserve">전용면적</t>
  </si>
  <si>
    <r>
      <rPr>
        <sz val="12"/>
        <rFont val="맑은 고딕"/>
        <family val="2"/>
      </rPr>
      <t xml:space="preserve">공용면적</t>
    </r>
    <r>
      <rPr>
        <sz val="12"/>
        <rFont val="맑은 고딕"/>
        <family val="3"/>
        <charset val="129"/>
      </rPr>
      <t xml:space="preserve">(</t>
    </r>
    <r>
      <rPr>
        <sz val="12"/>
        <rFont val="맑은 고딕"/>
        <family val="2"/>
      </rPr>
      <t xml:space="preserve">복도</t>
    </r>
    <r>
      <rPr>
        <sz val="12"/>
        <rFont val="맑은 고딕"/>
        <family val="3"/>
        <charset val="129"/>
      </rPr>
      <t xml:space="preserve">,</t>
    </r>
    <r>
      <rPr>
        <sz val="12"/>
        <rFont val="맑은 고딕"/>
        <family val="2"/>
      </rPr>
      <t xml:space="preserve">코아</t>
    </r>
    <r>
      <rPr>
        <sz val="12"/>
        <rFont val="맑은 고딕"/>
        <family val="3"/>
        <charset val="129"/>
      </rPr>
      <t xml:space="preserve">)</t>
    </r>
  </si>
  <si>
    <r>
      <rPr>
        <sz val="12"/>
        <rFont val="맑은 고딕"/>
        <family val="2"/>
      </rPr>
      <t xml:space="preserve">기타공용면적 </t>
    </r>
    <r>
      <rPr>
        <sz val="12"/>
        <rFont val="맑은 고딕"/>
        <family val="3"/>
        <charset val="129"/>
      </rPr>
      <t xml:space="preserve">(</t>
    </r>
    <r>
      <rPr>
        <sz val="12"/>
        <rFont val="맑은 고딕"/>
        <family val="2"/>
      </rPr>
      <t xml:space="preserve">부대시설</t>
    </r>
    <r>
      <rPr>
        <sz val="12"/>
        <rFont val="맑은 고딕"/>
        <family val="3"/>
        <charset val="129"/>
      </rPr>
      <t xml:space="preserve">)</t>
    </r>
  </si>
  <si>
    <r>
      <rPr>
        <sz val="12"/>
        <rFont val="맑은 고딕"/>
        <family val="2"/>
      </rPr>
      <t xml:space="preserve">소  계 </t>
    </r>
    <r>
      <rPr>
        <sz val="12"/>
        <rFont val="맑은 고딕"/>
        <family val="3"/>
        <charset val="129"/>
      </rPr>
      <t xml:space="preserve">(</t>
    </r>
    <r>
      <rPr>
        <sz val="12"/>
        <rFont val="맑은 고딕"/>
        <family val="2"/>
      </rPr>
      <t xml:space="preserve">시설면적</t>
    </r>
    <r>
      <rPr>
        <sz val="12"/>
        <rFont val="맑은 고딕"/>
        <family val="3"/>
        <charset val="129"/>
      </rPr>
      <t xml:space="preserve">)</t>
    </r>
  </si>
  <si>
    <t xml:space="preserve">주차장면적</t>
  </si>
  <si>
    <r>
      <rPr>
        <sz val="12"/>
        <rFont val="맑은 고딕"/>
        <family val="2"/>
      </rPr>
      <t xml:space="preserve">합  계 </t>
    </r>
    <r>
      <rPr>
        <sz val="12"/>
        <rFont val="맑은 고딕"/>
        <family val="3"/>
        <charset val="129"/>
      </rPr>
      <t xml:space="preserve">(</t>
    </r>
    <r>
      <rPr>
        <sz val="12"/>
        <rFont val="맑은 고딕"/>
        <family val="2"/>
      </rPr>
      <t xml:space="preserve">계약면적</t>
    </r>
    <r>
      <rPr>
        <sz val="12"/>
        <rFont val="맑은 고딕"/>
        <family val="3"/>
        <charset val="129"/>
      </rPr>
      <t xml:space="preserve">)</t>
    </r>
  </si>
  <si>
    <t xml:space="preserve">비  율</t>
  </si>
  <si>
    <t xml:space="preserve">대지지분</t>
  </si>
  <si>
    <t xml:space="preserve">오피스텔</t>
  </si>
  <si>
    <t xml:space="preserve">합    계</t>
  </si>
  <si>
    <r>
      <rPr>
        <b val="true"/>
        <sz val="12"/>
        <rFont val="맑은 고딕"/>
        <family val="2"/>
      </rPr>
      <t xml:space="preserve">■ 분양면적표 </t>
    </r>
    <r>
      <rPr>
        <b val="true"/>
        <sz val="12"/>
        <rFont val="맑은 고딕"/>
        <family val="3"/>
        <charset val="129"/>
      </rPr>
      <t xml:space="preserve">(</t>
    </r>
    <r>
      <rPr>
        <b val="true"/>
        <sz val="12"/>
        <rFont val="맑은 고딕"/>
        <family val="2"/>
      </rPr>
      <t xml:space="preserve">다가구 주택은 분양면적이 없으나 편의상 기재</t>
    </r>
    <r>
      <rPr>
        <b val="true"/>
        <sz val="12"/>
        <rFont val="맑은 고딕"/>
        <family val="3"/>
        <charset val="129"/>
      </rPr>
      <t xml:space="preserve">)</t>
    </r>
  </si>
  <si>
    <t xml:space="preserve">호  수</t>
  </si>
  <si>
    <t xml:space="preserve">세대비율</t>
  </si>
  <si>
    <t xml:space="preserve">공용면적</t>
  </si>
  <si>
    <r>
      <rPr>
        <sz val="12"/>
        <rFont val="맑은 고딕"/>
        <family val="2"/>
      </rPr>
      <t xml:space="preserve">공급면적
</t>
    </r>
    <r>
      <rPr>
        <sz val="12"/>
        <rFont val="맑은 고딕"/>
        <family val="3"/>
        <charset val="129"/>
      </rPr>
      <t xml:space="preserve">(</t>
    </r>
    <r>
      <rPr>
        <sz val="12"/>
        <rFont val="맑은 고딕"/>
        <family val="2"/>
      </rPr>
      <t xml:space="preserve">다가구 세대전용 기준</t>
    </r>
    <r>
      <rPr>
        <sz val="12"/>
        <rFont val="맑은 고딕"/>
        <family val="3"/>
        <charset val="129"/>
      </rPr>
      <t xml:space="preserve">)</t>
    </r>
  </si>
  <si>
    <t xml:space="preserve">기타공용</t>
  </si>
  <si>
    <t xml:space="preserve">서비스면적</t>
  </si>
  <si>
    <r>
      <rPr>
        <sz val="12"/>
        <rFont val="맑은 고딕"/>
        <family val="2"/>
      </rPr>
      <t xml:space="preserve">실사용면적
 </t>
    </r>
    <r>
      <rPr>
        <sz val="11"/>
        <rFont val="맑은 고딕"/>
        <family val="3"/>
        <charset val="129"/>
      </rPr>
      <t xml:space="preserve">(</t>
    </r>
    <r>
      <rPr>
        <sz val="11"/>
        <rFont val="맑은 고딕"/>
        <family val="2"/>
      </rPr>
      <t xml:space="preserve">전용</t>
    </r>
    <r>
      <rPr>
        <sz val="11"/>
        <rFont val="맑은 고딕"/>
        <family val="3"/>
        <charset val="129"/>
      </rPr>
      <t xml:space="preserve">+</t>
    </r>
    <r>
      <rPr>
        <sz val="11"/>
        <rFont val="맑은 고딕"/>
        <family val="2"/>
      </rPr>
      <t xml:space="preserve">발코니확장</t>
    </r>
    <r>
      <rPr>
        <sz val="11"/>
        <rFont val="맑은 고딕"/>
        <family val="3"/>
        <charset val="129"/>
      </rPr>
      <t xml:space="preserve">)</t>
    </r>
  </si>
  <si>
    <t xml:space="preserve">비  고</t>
  </si>
  <si>
    <r>
      <rPr>
        <sz val="12"/>
        <rFont val="맑은 고딕"/>
        <family val="2"/>
      </rPr>
      <t xml:space="preserve">벽체공유</t>
    </r>
    <r>
      <rPr>
        <sz val="12"/>
        <rFont val="맑은 고딕"/>
        <family val="3"/>
        <charset val="129"/>
      </rPr>
      <t xml:space="preserve">, </t>
    </r>
    <r>
      <rPr>
        <sz val="12"/>
        <rFont val="맑은 고딕"/>
        <family val="2"/>
      </rPr>
      <t xml:space="preserve">복도</t>
    </r>
    <r>
      <rPr>
        <sz val="12"/>
        <rFont val="맑은 고딕"/>
        <family val="3"/>
        <charset val="129"/>
      </rPr>
      <t xml:space="preserve">,</t>
    </r>
    <r>
      <rPr>
        <sz val="12"/>
        <rFont val="맑은 고딕"/>
        <family val="2"/>
      </rPr>
      <t xml:space="preserve">코아</t>
    </r>
  </si>
  <si>
    <r>
      <rPr>
        <sz val="12"/>
        <rFont val="맑은 고딕"/>
        <family val="2"/>
      </rPr>
      <t xml:space="preserve">기계</t>
    </r>
    <r>
      <rPr>
        <sz val="12"/>
        <rFont val="맑은 고딕"/>
        <family val="3"/>
        <charset val="129"/>
      </rPr>
      <t xml:space="preserve">,</t>
    </r>
    <r>
      <rPr>
        <sz val="12"/>
        <rFont val="맑은 고딕"/>
        <family val="2"/>
      </rPr>
      <t xml:space="preserve">전기실</t>
    </r>
    <r>
      <rPr>
        <sz val="12"/>
        <rFont val="맑은 고딕"/>
        <family val="3"/>
        <charset val="129"/>
      </rPr>
      <t xml:space="preserve">, </t>
    </r>
    <r>
      <rPr>
        <sz val="12"/>
        <rFont val="맑은 고딕"/>
        <family val="2"/>
      </rPr>
      <t xml:space="preserve">창고</t>
    </r>
  </si>
  <si>
    <t xml:space="preserve">발코니확장면적</t>
  </si>
  <si>
    <t xml:space="preserve">소계</t>
  </si>
  <si>
    <t xml:space="preserve">A-TYPE</t>
  </si>
  <si>
    <t xml:space="preserve">B-TYPE</t>
  </si>
  <si>
    <t xml:space="preserve">C-TYPE</t>
  </si>
  <si>
    <t xml:space="preserve">D-TYPE</t>
  </si>
  <si>
    <r>
      <rPr>
        <sz val="11"/>
        <rFont val="맑은 고딕"/>
        <family val="2"/>
      </rPr>
      <t xml:space="preserve">근생</t>
    </r>
    <r>
      <rPr>
        <sz val="11"/>
        <rFont val="맑은 고딕"/>
        <family val="3"/>
        <charset val="129"/>
      </rPr>
      <t xml:space="preserve">+</t>
    </r>
    <r>
      <rPr>
        <sz val="11"/>
        <rFont val="맑은 고딕"/>
        <family val="2"/>
      </rPr>
      <t xml:space="preserve">다가구</t>
    </r>
  </si>
  <si>
    <t xml:space="preserve">근생면적비율</t>
  </si>
  <si>
    <r>
      <rPr>
        <sz val="12"/>
        <rFont val="맑은 고딕"/>
        <family val="2"/>
      </rPr>
      <t xml:space="preserve">위례신도시 </t>
    </r>
    <r>
      <rPr>
        <sz val="12"/>
        <rFont val="맑은 고딕"/>
        <family val="3"/>
        <charset val="129"/>
      </rPr>
      <t xml:space="preserve">D1-2-2-3</t>
    </r>
    <r>
      <rPr>
        <sz val="12"/>
        <rFont val="맑은 고딕"/>
        <family val="2"/>
      </rPr>
      <t xml:space="preserve">구역</t>
    </r>
  </si>
  <si>
    <r>
      <rPr>
        <sz val="12"/>
        <rFont val="맑은 고딕"/>
        <family val="3"/>
        <charset val="129"/>
      </rPr>
      <t xml:space="preserve">3</t>
    </r>
    <r>
      <rPr>
        <sz val="12"/>
        <rFont val="맑은 고딕"/>
        <family val="2"/>
      </rPr>
      <t xml:space="preserve">룸</t>
    </r>
    <r>
      <rPr>
        <sz val="12"/>
        <rFont val="맑은 고딕"/>
        <family val="3"/>
        <charset val="129"/>
      </rPr>
      <t xml:space="preserve">/1</t>
    </r>
    <r>
      <rPr>
        <sz val="12"/>
        <rFont val="맑은 고딕"/>
        <family val="2"/>
      </rPr>
      <t xml:space="preserve">가구</t>
    </r>
  </si>
  <si>
    <t xml:space="preserve">▣ 토지내역</t>
  </si>
  <si>
    <t xml:space="preserve">지번</t>
  </si>
  <si>
    <r>
      <rPr>
        <b val="true"/>
        <sz val="9"/>
        <rFont val="맑은 고딕"/>
        <family val="2"/>
      </rPr>
      <t xml:space="preserve">공시지가
</t>
    </r>
    <r>
      <rPr>
        <b val="true"/>
        <sz val="9"/>
        <rFont val="맑은 고딕"/>
        <family val="3"/>
        <charset val="129"/>
      </rPr>
      <t xml:space="preserve">(sqm</t>
    </r>
    <r>
      <rPr>
        <b val="true"/>
        <sz val="9"/>
        <rFont val="맑은 고딕"/>
        <family val="2"/>
      </rPr>
      <t xml:space="preserve">당</t>
    </r>
    <r>
      <rPr>
        <b val="true"/>
        <sz val="9"/>
        <rFont val="맑은 고딕"/>
        <family val="3"/>
        <charset val="129"/>
      </rPr>
      <t xml:space="preserve">)</t>
    </r>
  </si>
  <si>
    <t xml:space="preserve">공시지가
평당가</t>
  </si>
  <si>
    <t xml:space="preserve">실거래가</t>
  </si>
  <si>
    <t xml:space="preserve">실거래평당가</t>
  </si>
  <si>
    <t xml:space="preserve">거여동</t>
  </si>
  <si>
    <t xml:space="preserve">면적</t>
  </si>
  <si>
    <t xml:space="preserve">공시지가</t>
  </si>
  <si>
    <r>
      <rPr>
        <sz val="9"/>
        <color rgb="FFFFFFFF"/>
        <rFont val="맑은 고딕"/>
        <family val="2"/>
      </rPr>
      <t xml:space="preserve">지역</t>
    </r>
    <r>
      <rPr>
        <sz val="9"/>
        <color rgb="FFFFFFFF"/>
        <rFont val="맑은 고딕"/>
        <family val="3"/>
        <charset val="129"/>
      </rPr>
      <t xml:space="preserve">,</t>
    </r>
    <r>
      <rPr>
        <sz val="9"/>
        <color rgb="FFFFFFFF"/>
        <rFont val="맑은 고딕"/>
        <family val="2"/>
      </rPr>
      <t xml:space="preserve">지구</t>
    </r>
  </si>
  <si>
    <t xml:space="preserve">Sqm</t>
  </si>
  <si>
    <t xml:space="preserve">2021/01</t>
  </si>
  <si>
    <r>
      <rPr>
        <sz val="9"/>
        <rFont val="맑은 고딕"/>
        <family val="2"/>
      </rPr>
      <t xml:space="preserve">도시지역</t>
    </r>
    <r>
      <rPr>
        <sz val="9"/>
        <rFont val="맑은 고딕"/>
        <family val="3"/>
        <charset val="129"/>
      </rPr>
      <t xml:space="preserve">, </t>
    </r>
    <r>
      <rPr>
        <sz val="9"/>
        <rFont val="맑은 고딕"/>
        <family val="2"/>
      </rPr>
      <t xml:space="preserve">제</t>
    </r>
    <r>
      <rPr>
        <sz val="9"/>
        <rFont val="맑은 고딕"/>
        <family val="3"/>
        <charset val="129"/>
      </rPr>
      <t xml:space="preserve">1</t>
    </r>
    <r>
      <rPr>
        <sz val="9"/>
        <rFont val="맑은 고딕"/>
        <family val="2"/>
      </rPr>
      <t xml:space="preserve">종일반주거지역</t>
    </r>
    <r>
      <rPr>
        <sz val="9"/>
        <rFont val="맑은 고딕"/>
        <family val="3"/>
        <charset val="129"/>
      </rPr>
      <t xml:space="preserve">, </t>
    </r>
    <r>
      <rPr>
        <sz val="9"/>
        <rFont val="맑은 고딕"/>
        <family val="2"/>
      </rPr>
      <t xml:space="preserve">제</t>
    </r>
    <r>
      <rPr>
        <sz val="9"/>
        <rFont val="맑은 고딕"/>
        <family val="3"/>
        <charset val="129"/>
      </rPr>
      <t xml:space="preserve">1</t>
    </r>
    <r>
      <rPr>
        <sz val="9"/>
        <rFont val="맑은 고딕"/>
        <family val="2"/>
      </rPr>
      <t xml:space="preserve">종지구단위계획구역</t>
    </r>
  </si>
  <si>
    <r>
      <rPr>
        <sz val="11"/>
        <rFont val="맑은 고딕"/>
        <family val="3"/>
        <charset val="129"/>
      </rPr>
      <t xml:space="preserve">201</t>
    </r>
    <r>
      <rPr>
        <sz val="11"/>
        <rFont val="맑은 고딕"/>
        <family val="2"/>
      </rPr>
      <t xml:space="preserve">호</t>
    </r>
  </si>
  <si>
    <r>
      <rPr>
        <sz val="11"/>
        <rFont val="맑은 고딕"/>
        <family val="3"/>
        <charset val="129"/>
      </rPr>
      <t xml:space="preserve">202</t>
    </r>
    <r>
      <rPr>
        <sz val="11"/>
        <rFont val="맑은 고딕"/>
        <family val="2"/>
      </rPr>
      <t xml:space="preserve">호</t>
    </r>
  </si>
  <si>
    <t xml:space="preserve">가중치</t>
  </si>
  <si>
    <t xml:space="preserve">자연지반녹지</t>
  </si>
  <si>
    <t xml:space="preserve">옥상녹화</t>
  </si>
  <si>
    <r>
      <rPr>
        <sz val="11"/>
        <rFont val="맑은 고딕"/>
        <family val="3"/>
        <charset val="129"/>
      </rPr>
      <t xml:space="preserve">20cm</t>
    </r>
    <r>
      <rPr>
        <sz val="11"/>
        <rFont val="맑은 고딕"/>
        <family val="2"/>
      </rPr>
      <t xml:space="preserve">이상</t>
    </r>
  </si>
  <si>
    <r>
      <rPr>
        <sz val="11"/>
        <rFont val="맑은 고딕"/>
        <family val="3"/>
        <charset val="129"/>
      </rPr>
      <t xml:space="preserve">20cm</t>
    </r>
    <r>
      <rPr>
        <sz val="11"/>
        <rFont val="맑은 고딕"/>
        <family val="2"/>
      </rPr>
      <t xml:space="preserve">미만</t>
    </r>
  </si>
  <si>
    <t xml:space="preserve">부분포장</t>
  </si>
  <si>
    <t xml:space="preserve">잔디블록</t>
  </si>
  <si>
    <t xml:space="preserve">벽면녹화</t>
  </si>
  <si>
    <r>
      <rPr>
        <sz val="11"/>
        <rFont val="맑은 고딕"/>
        <family val="3"/>
        <charset val="129"/>
      </rPr>
      <t xml:space="preserve"/>
    </r>
    <r>
      <rPr>
        <sz val="11"/>
        <rFont val="맑은 고딕"/>
        <family val="2"/>
      </rPr>
      <t xml:space="preserve"/>
    </r>
  </si>
  <si>
    <t xml:space="preserve">E</t>
  </si>
  <si>
    <t xml:space="preserve">입면적</t>
  </si>
  <si>
    <t xml:space="preserve">체적</t>
  </si>
  <si>
    <t xml:space="preserve">다락가중평균높이</t>
  </si>
  <si>
    <t xml:space="preserve">번호</t>
  </si>
  <si>
    <r>
      <rPr>
        <b val="true"/>
        <sz val="11"/>
        <color rgb="FF000000"/>
        <rFont val="맑은 고딕"/>
        <family val="2"/>
      </rPr>
      <t xml:space="preserve">산출근거</t>
    </r>
    <r>
      <rPr>
        <b val="true"/>
        <sz val="11"/>
        <color rgb="FF000000"/>
        <rFont val="맑은 고딕"/>
        <family val="3"/>
        <charset val="129"/>
      </rPr>
      <t xml:space="preserve">(m)</t>
    </r>
  </si>
  <si>
    <r>
      <rPr>
        <b val="true"/>
        <sz val="11"/>
        <color rgb="FF000000"/>
        <rFont val="맑은 고딕"/>
        <family val="2"/>
      </rPr>
      <t xml:space="preserve">면적</t>
    </r>
    <r>
      <rPr>
        <b val="true"/>
        <sz val="11"/>
        <color rgb="FF000000"/>
        <rFont val="맑은 고딕"/>
        <family val="3"/>
        <charset val="129"/>
      </rPr>
      <t xml:space="preserve">(</t>
    </r>
    <r>
      <rPr>
        <b val="true"/>
        <sz val="11"/>
        <color rgb="FF000000"/>
        <rFont val="맑은 고딕"/>
        <family val="2"/>
      </rPr>
      <t xml:space="preserve">㎡</t>
    </r>
    <r>
      <rPr>
        <b val="true"/>
        <sz val="11"/>
        <color rgb="FF000000"/>
        <rFont val="맑은 고딕"/>
        <family val="3"/>
        <charset val="129"/>
      </rPr>
      <t xml:space="preserve">)</t>
    </r>
  </si>
  <si>
    <r>
      <rPr>
        <b val="true"/>
        <sz val="11"/>
        <color rgb="FF000000"/>
        <rFont val="맑은 고딕"/>
        <family val="2"/>
      </rPr>
      <t xml:space="preserve">체적</t>
    </r>
    <r>
      <rPr>
        <b val="true"/>
        <sz val="11"/>
        <color rgb="FF000000"/>
        <rFont val="맑은 고딕"/>
        <family val="3"/>
        <charset val="129"/>
      </rPr>
      <t xml:space="preserve">/</t>
    </r>
    <r>
      <rPr>
        <b val="true"/>
        <sz val="11"/>
        <color rgb="FF000000"/>
        <rFont val="맑은 고딕"/>
        <family val="2"/>
      </rPr>
      <t xml:space="preserve">바닥면적</t>
    </r>
  </si>
  <si>
    <r>
      <rPr>
        <b val="true"/>
        <sz val="11"/>
        <color rgb="FF000000"/>
        <rFont val="맑은 고딕"/>
        <family val="2"/>
      </rPr>
      <t xml:space="preserve">평균높이</t>
    </r>
    <r>
      <rPr>
        <b val="true"/>
        <sz val="11"/>
        <color rgb="FF000000"/>
        <rFont val="맑은 고딕"/>
        <family val="3"/>
        <charset val="129"/>
      </rPr>
      <t xml:space="preserve">(m)</t>
    </r>
  </si>
  <si>
    <r>
      <rPr>
        <sz val="11"/>
        <rFont val="맑은 고딕"/>
        <family val="3"/>
        <charset val="129"/>
      </rPr>
      <t xml:space="preserve">CAD</t>
    </r>
    <r>
      <rPr>
        <sz val="11"/>
        <rFont val="맑은 고딕"/>
        <family val="2"/>
      </rPr>
      <t xml:space="preserve">산출</t>
    </r>
  </si>
  <si>
    <t xml:space="preserve">평균높이</t>
  </si>
  <si>
    <t xml:space="preserve">B</t>
  </si>
  <si>
    <t xml:space="preserve">C</t>
  </si>
  <si>
    <t xml:space="preserve">D</t>
  </si>
  <si>
    <t xml:space="preserve">F</t>
  </si>
  <si>
    <t xml:space="preserve">G</t>
  </si>
  <si>
    <t xml:space="preserve">H</t>
  </si>
  <si>
    <t xml:space="preserve">가중평균높이</t>
  </si>
  <si>
    <t xml:space="preserve">공간유형별면적</t>
  </si>
  <si>
    <t xml:space="preserve">공간유형</t>
  </si>
  <si>
    <t xml:space="preserve">구분</t>
  </si>
  <si>
    <t xml:space="preserve">적용방식</t>
  </si>
  <si>
    <r>
      <rPr>
        <sz val="11"/>
        <rFont val="맑은 고딕"/>
        <family val="2"/>
      </rPr>
      <t xml:space="preserve">면적</t>
    </r>
    <r>
      <rPr>
        <sz val="11"/>
        <rFont val="맑은 고딕"/>
        <family val="3"/>
        <charset val="129"/>
      </rPr>
      <t xml:space="preserve">(</t>
    </r>
    <r>
      <rPr>
        <sz val="11"/>
        <color rgb="FF000000"/>
        <rFont val="맑은 고딕"/>
        <family val="2"/>
      </rPr>
      <t xml:space="preserve">㎡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</si>
  <si>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rFont val="맑은 고딕"/>
        <family val="2"/>
      </rPr>
      <t xml:space="preserve">환산면적</t>
    </r>
    <r>
      <rPr>
        <sz val="11"/>
        <rFont val="맑은 고딕"/>
        <family val="3"/>
        <charset val="129"/>
      </rPr>
      <t xml:space="preserve">(</t>
    </r>
    <r>
      <rPr>
        <sz val="11"/>
        <rFont val="맑은 고딕"/>
        <family val="2"/>
      </rPr>
      <t xml:space="preserve">㎡</t>
    </r>
    <r>
      <rPr>
        <sz val="11"/>
        <rFont val="맑은 고딕"/>
        <family val="3"/>
        <charset val="129"/>
      </rPr>
      <t xml:space="preserve">)</t>
    </r>
  </si>
  <si>
    <t xml:space="preserve">①</t>
  </si>
  <si>
    <t xml:space="preserve">자연지반 녹지</t>
  </si>
  <si>
    <r>
      <rPr>
        <sz val="11"/>
        <rFont val="맑은 고딕"/>
        <family val="2"/>
      </rPr>
      <t xml:space="preserve">옥상녹화 </t>
    </r>
    <r>
      <rPr>
        <sz val="11"/>
        <color rgb="FF000000"/>
        <rFont val="맑은 고딕"/>
        <family val="2"/>
      </rPr>
      <t xml:space="preserve">≥ </t>
    </r>
    <r>
      <rPr>
        <sz val="11"/>
        <color rgb="FF000000"/>
        <rFont val="맑은 고딕"/>
        <family val="3"/>
        <charset val="129"/>
      </rPr>
      <t xml:space="preserve">20cm</t>
    </r>
  </si>
  <si>
    <t xml:space="preserve">③+④+⑤</t>
  </si>
  <si>
    <t xml:space="preserve">녹화옥상시스템</t>
  </si>
  <si>
    <t xml:space="preserve">②</t>
  </si>
  <si>
    <t xml:space="preserve">잔디블록포장</t>
  </si>
  <si>
    <t xml:space="preserve">법정 생태면적비율</t>
  </si>
  <si>
    <t xml:space="preserve">계획 생태면적비율</t>
  </si>
  <si>
    <t xml:space="preserve">잔디블럭포장</t>
  </si>
</sst>
</file>

<file path=xl/styles.xml><?xml version="1.0" encoding="utf-8"?>
<styleSheet xmlns="http://schemas.openxmlformats.org/spreadsheetml/2006/main">
  <numFmts count="27">
    <numFmt numFmtId="164" formatCode="General"/>
    <numFmt numFmtId="165" formatCode="_-* #,##0_-;\-* #,##0_-;_-* \-_-;_-@_-"/>
    <numFmt numFmtId="166" formatCode="#,##0_ "/>
    <numFmt numFmtId="167" formatCode="#,##0.00_ "/>
    <numFmt numFmtId="168" formatCode="#,##0.00\㎡"/>
    <numFmt numFmtId="169" formatCode="\(#,##0.00&quot;평)&quot;"/>
    <numFmt numFmtId="170" formatCode="##\층"/>
    <numFmt numFmtId="171" formatCode="0%"/>
    <numFmt numFmtId="172" formatCode="0.00%"/>
    <numFmt numFmtId="173" formatCode="#,##0\㎡"/>
    <numFmt numFmtId="174" formatCode="_-* #,##0.00_-;\-* #,##0.00_-;_-* \-_-;_-@_-"/>
    <numFmt numFmtId="175" formatCode="#,##0.00_);[RED]\(#,##0.00\)"/>
    <numFmt numFmtId="176" formatCode="#\대"/>
    <numFmt numFmtId="177" formatCode="&quot;  /  &quot;#&quot;㎡    =&quot;"/>
    <numFmt numFmtId="178" formatCode="#.##&quot; 대&quot;"/>
    <numFmt numFmtId="179" formatCode="#.#&quot; 대&quot;"/>
    <numFmt numFmtId="180" formatCode="#.00&quot; 대&quot;"/>
    <numFmt numFmtId="181" formatCode="&quot;지하&quot;##\층"/>
    <numFmt numFmtId="182" formatCode="0\대"/>
    <numFmt numFmtId="183" formatCode="#,##0.00&quot;㎡ x&quot;"/>
    <numFmt numFmtId="184" formatCode="\(#,##0.00\)"/>
    <numFmt numFmtId="185" formatCode="0.00%\ "/>
    <numFmt numFmtId="186" formatCode="General"/>
    <numFmt numFmtId="187" formatCode="0.00_ "/>
    <numFmt numFmtId="188" formatCode="0,000&quot;만원&quot;"/>
    <numFmt numFmtId="189" formatCode="0.000"/>
    <numFmt numFmtId="190" formatCode="0.00"/>
  </numFmts>
  <fonts count="39">
    <font>
      <sz val="11"/>
      <name val="맑은 고딕"/>
      <family val="3"/>
      <charset val="129"/>
    </font>
    <font>
      <sz val="10"/>
      <name val="맑은 고딕"/>
      <family val="0"/>
    </font>
    <font>
      <sz val="10"/>
      <name val="맑은 고딕"/>
      <family val="0"/>
    </font>
    <font>
      <sz val="10"/>
      <name val="맑은 고딕"/>
      <family val="0"/>
    </font>
    <font>
      <sz val="11"/>
      <name val="맑은 고딕"/>
      <family val="1"/>
      <charset val="129"/>
    </font>
    <font>
      <sz val="11"/>
      <name val="맑은 고딕"/>
      <family val="2"/>
    </font>
    <font>
      <sz val="11"/>
      <name val="맑은 고딕"/>
      <family val="3"/>
      <charset val="129"/>
    </font>
    <font>
      <b val="true"/>
      <sz val="18"/>
      <name val="맑은 고딕"/>
      <family val="3"/>
      <charset val="129"/>
    </font>
    <font>
      <sz val="12"/>
      <name val="맑은 고딕"/>
      <family val="2"/>
    </font>
    <font>
      <b val="true"/>
      <sz val="12"/>
      <name val="맑은 고딕"/>
      <family val="3"/>
      <charset val="129"/>
    </font>
    <font>
      <b val="true"/>
      <sz val="12"/>
      <name val="맑은 고딕"/>
      <family val="2"/>
    </font>
    <font>
      <sz val="12"/>
      <name val="맑은 고딕"/>
      <family val="3"/>
      <charset val="129"/>
    </font>
    <font>
      <sz val="11"/>
      <color rgb="FFFFFF00"/>
      <name val="맑은 고딕"/>
      <family val="3"/>
      <charset val="129"/>
    </font>
    <font>
      <sz val="12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 val="true"/>
      <sz val="11"/>
      <name val="맑은 고딕"/>
      <family val="1"/>
      <charset val="129"/>
    </font>
    <font>
      <sz val="10"/>
      <name val="맑은 고딕"/>
      <family val="2"/>
    </font>
    <font>
      <sz val="10"/>
      <name val="맑은 고딕"/>
      <family val="3"/>
      <charset val="129"/>
    </font>
    <font>
      <b val="true"/>
      <sz val="11"/>
      <name val="맑은 고딕"/>
      <family val="3"/>
      <charset val="129"/>
    </font>
    <font>
      <sz val="12"/>
      <color rgb="FFC0C0C0"/>
      <name val="맑은 고딕"/>
      <family val="3"/>
      <charset val="129"/>
    </font>
    <font>
      <sz val="11"/>
      <name val="맑은 고딕"/>
      <family val="1"/>
      <charset val="129"/>
    </font>
    <font>
      <b val="true"/>
      <sz val="9"/>
      <color rgb="FF000000"/>
      <name val="맑은 고딕"/>
      <family val="3"/>
      <charset val="129"/>
    </font>
    <font>
      <sz val="9"/>
      <color rgb="FF000000"/>
      <name val="맑은 고딕"/>
      <family val="2"/>
    </font>
    <font>
      <sz val="9"/>
      <color rgb="FF000000"/>
      <name val="맑은 고딕"/>
      <family val="3"/>
      <charset val="129"/>
    </font>
    <font>
      <b val="true"/>
      <sz val="11"/>
      <name val="맑은 고딕"/>
      <family val="2"/>
    </font>
    <font>
      <b val="true"/>
      <sz val="9"/>
      <name val="맑은 고딕"/>
      <family val="2"/>
    </font>
    <font>
      <b val="true"/>
      <sz val="9"/>
      <name val="맑은 고딕"/>
      <family val="3"/>
      <charset val="129"/>
    </font>
    <font>
      <sz val="9"/>
      <name val="맑은 고딕"/>
      <family val="2"/>
    </font>
    <font>
      <sz val="9"/>
      <name val="맑은 고딕"/>
      <family val="3"/>
      <charset val="129"/>
    </font>
    <font>
      <sz val="9"/>
      <color rgb="FFFFFFFF"/>
      <name val="맑은 고딕"/>
      <family val="2"/>
    </font>
    <font>
      <sz val="9"/>
      <color rgb="FFFFFFFF"/>
      <name val="맑은 고딕"/>
      <family val="3"/>
      <charset val="129"/>
    </font>
    <font>
      <sz val="11"/>
      <color rgb="FFFFFFFF"/>
      <name val="맑은 고딕"/>
      <family val="2"/>
    </font>
    <font>
      <b val="true"/>
      <sz val="11"/>
      <color rgb="FF000000"/>
      <name val="맑은 고딕"/>
      <family val="3"/>
      <charset val="129"/>
    </font>
    <font>
      <sz val="11"/>
      <color rgb="FF008000"/>
      <name val="맑은 고딕"/>
      <family val="3"/>
      <charset val="129"/>
    </font>
    <font>
      <b val="true"/>
      <sz val="11"/>
      <color rgb="FF000000"/>
      <name val="맑은 고딕"/>
      <family val="2"/>
    </font>
    <font>
      <b val="true"/>
      <sz val="11"/>
      <name val="맑은 고딕"/>
      <family val="3"/>
      <charset val="129"/>
    </font>
    <font>
      <sz val="11"/>
      <color rgb="FF333399"/>
      <name val="맑은 고딕"/>
      <family val="3"/>
      <charset val="129"/>
    </font>
    <font>
      <sz val="11"/>
      <color rgb="FF000000"/>
      <name val="맑은 고딕"/>
      <family val="2"/>
    </font>
    <font>
      <sz val="11"/>
      <color rgb="FF00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969696"/>
        <bgColor rgb="FF808080"/>
      </patternFill>
    </fill>
    <fill>
      <patternFill patternType="solid">
        <fgColor rgb="FF333333"/>
        <bgColor rgb="FF333300"/>
      </patternFill>
    </fill>
  </fills>
  <borders count="107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thick"/>
      <diagonal/>
    </border>
    <border diagonalUp="false" diagonalDown="false">
      <left/>
      <right style="medium"/>
      <top style="thick"/>
      <bottom style="medium"/>
      <diagonal/>
    </border>
    <border diagonalUp="false" diagonalDown="false">
      <left style="medium"/>
      <right/>
      <top style="thick"/>
      <bottom style="medium"/>
      <diagonal/>
    </border>
    <border diagonalUp="false" diagonalDown="false">
      <left/>
      <right/>
      <top style="thick"/>
      <bottom style="medium"/>
      <diagonal/>
    </border>
    <border diagonalUp="false" diagonalDown="true">
      <left/>
      <right style="medium"/>
      <top style="thick"/>
      <bottom style="medium"/>
      <diagonal style="hair"/>
    </border>
    <border diagonalUp="false" diagonalDown="false">
      <left style="medium"/>
      <right style="thin"/>
      <top style="thick"/>
      <bottom style="thin"/>
      <diagonal/>
    </border>
    <border diagonalUp="false" diagonalDown="false">
      <left style="thin"/>
      <right style="thin"/>
      <top style="thick"/>
      <bottom style="thin"/>
      <diagonal/>
    </border>
    <border diagonalUp="false" diagonalDown="false">
      <left style="thin"/>
      <right style="medium"/>
      <top style="thick"/>
      <bottom style="thin"/>
      <diagonal/>
    </border>
    <border diagonalUp="false" diagonalDown="false">
      <left/>
      <right/>
      <top style="thick"/>
      <bottom style="thin"/>
      <diagonal/>
    </border>
    <border diagonalUp="false" diagonalDown="false">
      <left style="medium"/>
      <right style="medium"/>
      <top style="thick"/>
      <bottom/>
      <diagonal/>
    </border>
    <border diagonalUp="false" diagonalDown="false">
      <left style="medium"/>
      <right style="thin"/>
      <top style="thick"/>
      <bottom style="medium"/>
      <diagonal/>
    </border>
    <border diagonalUp="false" diagonalDown="false">
      <left style="thin"/>
      <right style="thin"/>
      <top style="thick"/>
      <bottom style="medium"/>
      <diagonal/>
    </border>
    <border diagonalUp="false" diagonalDown="false">
      <left style="thin"/>
      <right style="medium"/>
      <top style="thick"/>
      <bottom style="medium"/>
      <diagonal/>
    </border>
    <border diagonalUp="false" diagonalDown="false">
      <left style="medium"/>
      <right style="medium"/>
      <top style="thick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/>
      <top style="medium"/>
      <bottom style="thick"/>
      <diagonal/>
    </border>
    <border diagonalUp="false" diagonalDown="false">
      <left/>
      <right style="medium"/>
      <top/>
      <bottom style="thick"/>
      <diagonal/>
    </border>
    <border diagonalUp="false" diagonalDown="false">
      <left/>
      <right style="thin"/>
      <top style="thin"/>
      <bottom style="thick"/>
      <diagonal/>
    </border>
    <border diagonalUp="false" diagonalDown="false">
      <left/>
      <right/>
      <top style="thin"/>
      <bottom style="thick"/>
      <diagonal/>
    </border>
    <border diagonalUp="false" diagonalDown="false">
      <left style="medium"/>
      <right style="thin"/>
      <top/>
      <bottom style="thick"/>
      <diagonal/>
    </border>
    <border diagonalUp="false" diagonalDown="false">
      <left/>
      <right style="thin"/>
      <top/>
      <bottom style="thick"/>
      <diagonal/>
    </border>
    <border diagonalUp="false" diagonalDown="false">
      <left style="thin"/>
      <right style="thin"/>
      <top/>
      <bottom style="thick"/>
      <diagonal/>
    </border>
    <border diagonalUp="false" diagonalDown="false">
      <left style="thin"/>
      <right/>
      <top/>
      <bottom style="thick"/>
      <diagonal/>
    </border>
    <border diagonalUp="false" diagonalDown="false">
      <left style="thin"/>
      <right style="medium"/>
      <top/>
      <bottom style="thick"/>
      <diagonal/>
    </border>
    <border diagonalUp="false" diagonalDown="false">
      <left style="medium"/>
      <right style="medium"/>
      <top/>
      <bottom style="thick"/>
      <diagonal/>
    </border>
    <border diagonalUp="false" diagonalDown="false">
      <left/>
      <right style="thin"/>
      <top style="thick"/>
      <bottom style="medium"/>
      <diagonal/>
    </border>
    <border diagonalUp="false" diagonalDown="false">
      <left style="thin"/>
      <right/>
      <top style="thick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ck"/>
      <diagonal/>
    </border>
    <border diagonalUp="false" diagonalDown="false">
      <left/>
      <right/>
      <top style="medium"/>
      <bottom style="thick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/>
      <top style="thick"/>
      <bottom style="thin"/>
      <diagonal/>
    </border>
    <border diagonalUp="false" diagonalDown="false">
      <left style="medium"/>
      <right style="medium"/>
      <top style="thick"/>
      <bottom style="thin"/>
      <diagonal/>
    </border>
    <border diagonalUp="false" diagonalDown="false">
      <left/>
      <right style="medium"/>
      <top style="thick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thick"/>
      <diagonal/>
    </border>
    <border diagonalUp="false" diagonalDown="false">
      <left style="thin"/>
      <right style="medium"/>
      <top style="medium"/>
      <bottom style="thick"/>
      <diagonal/>
    </border>
    <border diagonalUp="false" diagonalDown="false">
      <left style="medium"/>
      <right style="medium"/>
      <top style="medium"/>
      <bottom style="thick"/>
      <diagonal/>
    </border>
    <border diagonalUp="false" diagonalDown="false">
      <left style="medium"/>
      <right style="thin"/>
      <top style="medium"/>
      <bottom style="thick"/>
      <diagonal/>
    </border>
    <border diagonalUp="false" diagonalDown="false">
      <left style="medium"/>
      <right/>
      <top style="medium"/>
      <bottom style="thick"/>
      <diagonal/>
    </border>
    <border diagonalUp="false" diagonalDown="false">
      <left style="thin"/>
      <right style="thin"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4" fontId="33" fillId="2" borderId="0" applyFont="true" applyBorder="false" applyAlignment="false" applyProtection="false"/>
    <xf numFmtId="164" fontId="36" fillId="3" borderId="1" applyFont="true" applyBorder="true" applyAlignment="false" applyProtection="false"/>
  </cellStyleXfs>
  <cellXfs count="5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5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4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28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3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3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3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1" fillId="5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31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32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33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5" borderId="34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5" borderId="35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17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34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5" borderId="18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36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37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38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6" borderId="39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3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6" fillId="3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27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4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5" borderId="33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28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41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35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6" borderId="42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28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0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0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5" borderId="34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1" fillId="5" borderId="35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5" borderId="44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45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46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6" borderId="47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2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4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4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4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7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0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7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4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7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6" fillId="0" borderId="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6" fillId="0" borderId="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7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7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7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0" borderId="4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1" fillId="0" borderId="33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8" fillId="2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2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2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3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3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7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3" borderId="29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11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3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3" borderId="5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3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7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3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5" borderId="28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1" fillId="5" borderId="41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1" fillId="0" borderId="28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1" fillId="5" borderId="44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1" fillId="4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11" fillId="4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11" fillId="4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4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11" fillId="4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11" fillId="0" borderId="46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7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6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5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5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5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6" borderId="6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1" fillId="6" borderId="57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6" borderId="6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6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6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9" fillId="4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9" fillId="4" borderId="29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9" fontId="11" fillId="4" borderId="29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81" fontId="11" fillId="5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5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6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5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5" borderId="17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5" borderId="37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5" borderId="38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6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6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6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0" borderId="66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" fillId="3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5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5" borderId="4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5" borderId="28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6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4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2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5" borderId="42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67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6" borderId="47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5" borderId="4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3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2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2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9" fillId="2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52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53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5" borderId="46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5" borderId="69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5" borderId="52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5" borderId="45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6" borderId="7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3" fontId="11" fillId="4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1" fillId="7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4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44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5" borderId="41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5" borderId="47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1" fillId="4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1" fillId="4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1" fillId="4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4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4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24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71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72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5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1" fillId="4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1" fillId="4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4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4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6" borderId="7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6" borderId="57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6" borderId="6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6" borderId="61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6" borderId="6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5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6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7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6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7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6" borderId="56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6" borderId="64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6" borderId="66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6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1" fillId="4" borderId="8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1" fillId="4" borderId="8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4" borderId="8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4" borderId="8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6" borderId="8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6" borderId="8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6" borderId="8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6" borderId="8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6" borderId="8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6" borderId="8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6" borderId="82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6" borderId="83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6" borderId="85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6" borderId="8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8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8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11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11" fillId="0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11" fillId="0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11" fillId="6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11" fillId="6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1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8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11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11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11" fillId="0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11" fillId="6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11" fillId="6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1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8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11" fillId="6" borderId="8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9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8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11" fillId="6" borderId="8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11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8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0" borderId="82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91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9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9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9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9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8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8" borderId="9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8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8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9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9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8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11" fillId="8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11" fillId="8" borderId="8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6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11" fillId="0" borderId="61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5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11" fillId="0" borderId="7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5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11" fillId="0" borderId="6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6" fontId="11" fillId="0" borderId="5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9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6" borderId="5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11" fillId="6" borderId="6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6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7" fontId="11" fillId="0" borderId="5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11" fillId="0" borderId="10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0" borderId="99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1" fillId="0" borderId="62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99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0" borderId="61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10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9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57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0" borderId="74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59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0" borderId="57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6" borderId="57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0" borderId="59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8" fillId="8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9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11" fillId="6" borderId="102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6" borderId="5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11" fillId="6" borderId="7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6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6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1" fillId="6" borderId="59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1" fillId="6" borderId="59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1" fillId="6" borderId="9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6" borderId="10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1" fillId="6" borderId="10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10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11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11" fillId="0" borderId="0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1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7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6" fillId="7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9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1" fillId="4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1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5" borderId="28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5" fillId="5" borderId="28" xfId="1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5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7" borderId="28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8" fillId="7" borderId="28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28" fillId="0" borderId="28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8" fillId="7" borderId="28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26" fillId="5" borderId="28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6" fillId="5" borderId="28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5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5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9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9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9" borderId="28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9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9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9" borderId="28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6" fontId="28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0" borderId="28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8" fillId="0" borderId="4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5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8" fillId="5" borderId="28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8" fillId="5" borderId="28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5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4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0" fillId="0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32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5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2" borderId="0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9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90" fontId="0" fillId="0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35" fillId="0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35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32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0" fillId="0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32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5" borderId="1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90" fontId="32" fillId="5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0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8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쉼표 [0] 4" xfId="20"/>
    <cellStyle name="Excel_BuiltIn_좋음" xfId="21"/>
    <cellStyle name="Excel_BuiltIn_입력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AT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28125" defaultRowHeight="13.5" zeroHeight="false" outlineLevelRow="0" outlineLevelCol="0"/>
  <cols>
    <col collapsed="false" customWidth="true" hidden="false" outlineLevel="0" max="1" min="1" style="1" width="3.77"/>
    <col collapsed="false" customWidth="true" hidden="false" outlineLevel="0" max="5" min="2" style="2" width="12.11"/>
    <col collapsed="false" customWidth="true" hidden="false" outlineLevel="0" max="6" min="6" style="2" width="13.77"/>
    <col collapsed="false" customWidth="true" hidden="false" outlineLevel="0" max="7" min="7" style="2" width="15.55"/>
    <col collapsed="false" customWidth="true" hidden="false" outlineLevel="0" max="9" min="8" style="2" width="12.11"/>
    <col collapsed="false" customWidth="true" hidden="false" outlineLevel="0" max="17" min="10" style="2" width="13.11"/>
    <col collapsed="false" customWidth="true" hidden="true" outlineLevel="0" max="27" min="18" style="2" width="12.11"/>
    <col collapsed="false" customWidth="true" hidden="false" outlineLevel="0" max="28" min="28" style="2" width="12.44"/>
    <col collapsed="false" customWidth="true" hidden="false" outlineLevel="0" max="29" min="29" style="2" width="8.44"/>
    <col collapsed="false" customWidth="true" hidden="false" outlineLevel="0" max="30" min="30" style="2" width="6.32"/>
    <col collapsed="false" customWidth="true" hidden="false" outlineLevel="0" max="31" min="31" style="2" width="3.33"/>
    <col collapsed="false" customWidth="true" hidden="false" outlineLevel="0" max="32" min="32" style="2" width="8.99"/>
    <col collapsed="false" customWidth="true" hidden="false" outlineLevel="0" max="33" min="33" style="2" width="7.88"/>
    <col collapsed="false" customWidth="true" hidden="false" outlineLevel="0" max="34" min="34" style="2" width="8.99"/>
    <col collapsed="false" customWidth="true" hidden="false" outlineLevel="0" max="35" min="35" style="3" width="7.88"/>
    <col collapsed="false" customWidth="true" hidden="false" outlineLevel="0" max="36" min="36" style="2" width="8.99"/>
    <col collapsed="false" customWidth="true" hidden="false" outlineLevel="0" max="37" min="37" style="3" width="6.1"/>
    <col collapsed="false" customWidth="true" hidden="false" outlineLevel="0" max="38" min="38" style="2" width="8.99"/>
    <col collapsed="false" customWidth="true" hidden="false" outlineLevel="0" max="41" min="39" style="2" width="5.21"/>
    <col collapsed="false" customWidth="true" hidden="false" outlineLevel="0" max="42" min="42" style="2" width="11.11"/>
    <col collapsed="false" customWidth="true" hidden="false" outlineLevel="0" max="43" min="43" style="2" width="2.32"/>
    <col collapsed="false" customWidth="true" hidden="false" outlineLevel="0" max="56" min="44" style="2" width="9.77"/>
    <col collapsed="false" customWidth="false" hidden="false" outlineLevel="0" max="257" min="57" style="2" width="8.88"/>
  </cols>
  <sheetData>
    <row r="1" customFormat="false" ht="24" hidden="false" customHeight="true" outlineLevel="0" collapsed="false">
      <c r="D1" s="3" t="s">
        <v>0</v>
      </c>
      <c r="E1" s="3" t="s">
        <v>1</v>
      </c>
    </row>
    <row r="2" customFormat="false" ht="24" hidden="false" customHeight="true" outlineLevel="0" collapsed="false">
      <c r="B2" s="4" t="s">
        <v>2</v>
      </c>
      <c r="C2" s="4"/>
      <c r="D2" s="2">
        <f aca="false">+E15*F24</f>
      </c>
      <c r="E2" s="2">
        <f aca="false">+D2*0.3025</f>
      </c>
      <c r="I2" s="2"/>
      <c r="U2" s="2"/>
    </row>
    <row r="3" customFormat="false" ht="24" hidden="false" customHeight="true" outlineLevel="0" collapsed="false">
      <c r="B3" s="4" t="s">
        <v>3</v>
      </c>
      <c r="C3" s="4"/>
      <c r="D3" s="2">
        <f aca="false">+E15*F25</f>
      </c>
      <c r="E3" s="2">
        <f aca="false">+D3*0.3025</f>
      </c>
      <c r="F3" s="2">
        <f aca="false">+D3*0.015</f>
      </c>
      <c r="G3" s="2">
        <f aca="false">+F3/12</f>
      </c>
      <c r="I3" s="2">
        <f aca="false">+D3/D2</f>
      </c>
      <c r="N3" s="2">
        <f aca="false">+E15/2</f>
      </c>
      <c r="P3" s="2">
        <f aca="false">+N3*0.6</f>
      </c>
      <c r="R3" s="2"/>
      <c r="S3" s="2">
        <f aca="false">+R3*0.3025</f>
      </c>
    </row>
    <row r="4" customFormat="false" ht="24" hidden="false" customHeight="true" outlineLevel="0" collapsed="false">
      <c r="D4" s="2">
        <f aca="false">+P29</f>
      </c>
      <c r="E4" s="2">
        <f aca="false">+D3-D4</f>
      </c>
      <c r="T4" s="2"/>
      <c r="U4" s="2"/>
      <c r="V4" s="2"/>
      <c r="W4" s="2">
        <f aca="false">+T4+U4</f>
      </c>
      <c r="X4" s="2">
        <f aca="false">+W4-V4</f>
      </c>
    </row>
    <row r="5" customFormat="false" ht="24" hidden="false" customHeight="true" outlineLevel="0" collapsed="false">
      <c r="A5" s="5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8"/>
      <c r="AE5" s="8"/>
      <c r="AF5" s="7"/>
      <c r="AG5" s="7"/>
      <c r="AH5" s="7"/>
      <c r="AI5" s="9"/>
      <c r="AJ5" s="7"/>
      <c r="AK5" s="9"/>
      <c r="AL5" s="10"/>
      <c r="AM5" s="10"/>
      <c r="AN5" s="10"/>
      <c r="AO5" s="10"/>
      <c r="AP5" s="10"/>
      <c r="AQ5" s="11"/>
      <c r="AR5" s="11"/>
    </row>
    <row r="6" customFormat="false" ht="24" hidden="false" customHeight="true" outlineLevel="0" collapsed="false">
      <c r="A6" s="12"/>
      <c r="B6" s="13" t="s">
        <v>5</v>
      </c>
      <c r="C6" s="14" t="s">
        <v>6</v>
      </c>
      <c r="D6" s="14"/>
      <c r="E6" s="14"/>
      <c r="F6" s="14"/>
      <c r="G6" s="14"/>
      <c r="H6" s="13"/>
      <c r="I6" s="13" t="s">
        <v>7</v>
      </c>
      <c r="J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5"/>
      <c r="AB6" s="16"/>
      <c r="AC6" s="15"/>
      <c r="AD6" s="17" t="s">
        <v>8</v>
      </c>
      <c r="AE6" s="17"/>
      <c r="AF6" s="10"/>
      <c r="AG6" s="10"/>
      <c r="AH6" s="10"/>
      <c r="AI6" s="18"/>
      <c r="AJ6" s="10"/>
      <c r="AK6" s="18"/>
      <c r="AL6" s="19"/>
      <c r="AM6" s="19"/>
      <c r="AN6" s="19"/>
      <c r="AO6" s="19"/>
      <c r="AP6" s="20"/>
      <c r="AQ6" s="20"/>
      <c r="AR6" s="20"/>
    </row>
    <row r="7" customFormat="false" ht="24" hidden="false" customHeight="true" outlineLevel="0" collapsed="false">
      <c r="A7" s="12"/>
      <c r="B7" s="21" t="s">
        <v>9</v>
      </c>
      <c r="C7" s="22"/>
      <c r="D7" s="22"/>
      <c r="E7" s="22"/>
      <c r="F7" s="22"/>
      <c r="G7" s="23"/>
      <c r="H7" s="16"/>
      <c r="I7" s="24"/>
      <c r="J7" s="25" t="s">
        <v>11</v>
      </c>
      <c r="K7" s="25"/>
      <c r="L7" s="25" t="s">
        <v>12</v>
      </c>
      <c r="M7" s="25"/>
      <c r="N7" s="26" t="s">
        <v>13</v>
      </c>
      <c r="O7" s="26"/>
      <c r="P7" s="27" t="s">
        <v>14</v>
      </c>
      <c r="Q7" s="27"/>
      <c r="R7" s="28" t="s">
        <v>11</v>
      </c>
      <c r="S7" s="28"/>
      <c r="T7" s="28"/>
      <c r="U7" s="29" t="s">
        <v>15</v>
      </c>
      <c r="V7" s="29"/>
      <c r="W7" s="29"/>
      <c r="X7" s="30" t="s">
        <v>16</v>
      </c>
      <c r="Y7" s="31" t="s">
        <v>17</v>
      </c>
      <c r="Z7" s="32" t="s">
        <v>18</v>
      </c>
      <c r="AA7" s="33" t="s">
        <v>19</v>
      </c>
      <c r="AB7" s="34" t="s">
        <v>20</v>
      </c>
      <c r="AC7" s="34"/>
      <c r="AD7" s="34"/>
      <c r="AE7" s="35"/>
      <c r="AF7" s="10"/>
      <c r="AG7" s="10"/>
      <c r="AH7" s="10"/>
      <c r="AI7" s="18"/>
      <c r="AJ7" s="10"/>
      <c r="AK7" s="18"/>
      <c r="AL7" s="36"/>
      <c r="AM7" s="36"/>
      <c r="AN7" s="36"/>
      <c r="AO7" s="36"/>
      <c r="AP7" s="20"/>
      <c r="AQ7" s="20"/>
      <c r="AR7" s="20"/>
    </row>
    <row r="8" customFormat="false" ht="24" hidden="false" customHeight="true" outlineLevel="0" collapsed="false">
      <c r="A8" s="37"/>
      <c r="B8" s="38" t="s">
        <v>21</v>
      </c>
      <c r="C8" s="39" t="s">
        <v>22</v>
      </c>
      <c r="D8" s="40"/>
      <c r="E8" s="40"/>
      <c r="F8" s="40"/>
      <c r="G8" s="41"/>
      <c r="H8" s="16"/>
      <c r="I8" s="24"/>
      <c r="J8" s="42" t="s">
        <v>23</v>
      </c>
      <c r="K8" s="43" t="s">
        <v>24</v>
      </c>
      <c r="L8" s="42" t="s">
        <v>23</v>
      </c>
      <c r="M8" s="43" t="s">
        <v>24</v>
      </c>
      <c r="N8" s="44" t="s">
        <v>23</v>
      </c>
      <c r="O8" s="44" t="s">
        <v>24</v>
      </c>
      <c r="P8" s="44" t="s">
        <v>23</v>
      </c>
      <c r="Q8" s="45" t="s">
        <v>24</v>
      </c>
      <c r="R8" s="46" t="s">
        <v>25</v>
      </c>
      <c r="S8" s="47" t="s">
        <v>13</v>
      </c>
      <c r="T8" s="48" t="s">
        <v>14</v>
      </c>
      <c r="U8" s="49" t="s">
        <v>25</v>
      </c>
      <c r="V8" s="47" t="s">
        <v>13</v>
      </c>
      <c r="W8" s="50" t="s">
        <v>14</v>
      </c>
      <c r="X8" s="30"/>
      <c r="Y8" s="31"/>
      <c r="Z8" s="32"/>
      <c r="AA8" s="33"/>
      <c r="AB8" s="34"/>
      <c r="AC8" s="34"/>
      <c r="AD8" s="34"/>
      <c r="AE8" s="35"/>
      <c r="AF8" s="10"/>
      <c r="AG8" s="10"/>
      <c r="AH8" s="10"/>
      <c r="AI8" s="18"/>
      <c r="AJ8" s="10"/>
      <c r="AK8" s="18"/>
      <c r="AL8" s="36"/>
      <c r="AM8" s="36"/>
      <c r="AN8" s="36"/>
      <c r="AO8" s="36"/>
      <c r="AP8" s="20"/>
      <c r="AQ8" s="20"/>
      <c r="AR8" s="20"/>
    </row>
    <row r="9" customFormat="false" ht="24" hidden="false" customHeight="true" outlineLevel="0" collapsed="false">
      <c r="A9" s="12"/>
      <c r="B9" s="51"/>
      <c r="C9" s="52" t="s">
        <v>26</v>
      </c>
      <c r="D9" s="53">
        <f aca="false">+토지내역!B3</f>
      </c>
      <c r="E9" s="54">
        <f aca="false">+토지내역!C3</f>
      </c>
      <c r="F9" s="55">
        <f aca="false">E9*0.3025</f>
      </c>
      <c r="G9" s="56"/>
      <c r="H9" s="16"/>
      <c r="I9" s="57"/>
      <c r="J9" s="58"/>
      <c r="K9" s="59"/>
      <c r="L9" s="58"/>
      <c r="M9" s="59"/>
      <c r="N9" s="59"/>
      <c r="O9" s="60"/>
      <c r="P9" s="61"/>
      <c r="Q9" s="62"/>
      <c r="R9" s="63"/>
      <c r="S9" s="64"/>
      <c r="T9" s="65"/>
      <c r="U9" s="66"/>
      <c r="V9" s="67"/>
      <c r="W9" s="68"/>
      <c r="X9" s="66"/>
      <c r="Y9" s="67"/>
      <c r="Z9" s="68"/>
      <c r="AA9" s="69"/>
      <c r="AB9" s="70"/>
      <c r="AC9" s="70"/>
      <c r="AD9" s="70"/>
      <c r="AE9" s="71"/>
      <c r="AF9" s="10"/>
      <c r="AG9" s="10"/>
      <c r="AH9" s="10"/>
      <c r="AI9" s="18"/>
      <c r="AJ9" s="10"/>
      <c r="AK9" s="18"/>
      <c r="AL9" s="36"/>
      <c r="AM9" s="36"/>
      <c r="AN9" s="36"/>
      <c r="AO9" s="36"/>
      <c r="AP9" s="72"/>
      <c r="AQ9" s="73"/>
      <c r="AR9" s="73"/>
    </row>
    <row r="10" customFormat="false" ht="24" hidden="false" customHeight="true" outlineLevel="0" collapsed="false">
      <c r="A10" s="12"/>
      <c r="B10" s="51"/>
      <c r="C10" s="52"/>
      <c r="D10" s="53">
        <f aca="false">+토지내역!B4</f>
      </c>
      <c r="E10" s="54">
        <f aca="false">+토지내역!C4</f>
      </c>
      <c r="F10" s="55">
        <f aca="false">E10*0.3025</f>
      </c>
      <c r="G10" s="56"/>
      <c r="H10" s="16"/>
      <c r="I10" s="57"/>
      <c r="J10" s="74"/>
      <c r="K10" s="75"/>
      <c r="L10" s="74"/>
      <c r="M10" s="75"/>
      <c r="N10" s="75"/>
      <c r="O10" s="60"/>
      <c r="P10" s="61"/>
      <c r="Q10" s="62"/>
      <c r="R10" s="59"/>
      <c r="S10" s="64"/>
      <c r="T10" s="76"/>
      <c r="U10" s="74"/>
      <c r="V10" s="77"/>
      <c r="W10" s="78"/>
      <c r="X10" s="58"/>
      <c r="Y10" s="64"/>
      <c r="Z10" s="79"/>
      <c r="AA10" s="80"/>
      <c r="AB10" s="81"/>
      <c r="AC10" s="81"/>
      <c r="AD10" s="81"/>
      <c r="AE10" s="71"/>
      <c r="AF10" s="10"/>
      <c r="AG10" s="10"/>
      <c r="AH10" s="10"/>
      <c r="AI10" s="18"/>
      <c r="AJ10" s="10"/>
      <c r="AK10" s="18"/>
      <c r="AL10" s="36"/>
      <c r="AM10" s="36"/>
      <c r="AN10" s="36"/>
      <c r="AO10" s="36"/>
      <c r="AP10" s="72"/>
      <c r="AQ10" s="73"/>
      <c r="AR10" s="73"/>
    </row>
    <row r="11" customFormat="false" ht="24" hidden="false" customHeight="true" outlineLevel="0" collapsed="false">
      <c r="A11" s="12"/>
      <c r="B11" s="51"/>
      <c r="C11" s="52"/>
      <c r="D11" s="53">
        <f aca="false">+토지내역!B5</f>
      </c>
      <c r="E11" s="54">
        <f aca="false">+토지내역!C5</f>
      </c>
      <c r="F11" s="55">
        <f aca="false">E11*0.3025</f>
      </c>
      <c r="G11" s="56"/>
      <c r="H11" s="16"/>
      <c r="I11" s="57"/>
      <c r="J11" s="74"/>
      <c r="K11" s="75"/>
      <c r="L11" s="74"/>
      <c r="M11" s="75"/>
      <c r="N11" s="75"/>
      <c r="O11" s="60"/>
      <c r="P11" s="61"/>
      <c r="Q11" s="62"/>
      <c r="R11" s="59"/>
      <c r="S11" s="64"/>
      <c r="T11" s="76"/>
      <c r="U11" s="74"/>
      <c r="V11" s="77"/>
      <c r="W11" s="78"/>
      <c r="X11" s="58"/>
      <c r="Y11" s="64"/>
      <c r="Z11" s="79"/>
      <c r="AA11" s="80"/>
      <c r="AB11" s="81"/>
      <c r="AC11" s="81"/>
      <c r="AD11" s="81"/>
      <c r="AE11" s="71"/>
      <c r="AF11" s="10"/>
      <c r="AG11" s="10"/>
      <c r="AH11" s="10"/>
      <c r="AI11" s="18"/>
      <c r="AJ11" s="10"/>
      <c r="AK11" s="18"/>
      <c r="AL11" s="36"/>
      <c r="AM11" s="36"/>
      <c r="AN11" s="36"/>
      <c r="AO11" s="36"/>
      <c r="AP11" s="72"/>
      <c r="AQ11" s="73"/>
      <c r="AR11" s="73"/>
    </row>
    <row r="12" customFormat="false" ht="24" hidden="false" customHeight="true" outlineLevel="0" collapsed="false">
      <c r="A12" s="12"/>
      <c r="B12" s="51"/>
      <c r="C12" s="52"/>
      <c r="D12" s="53">
        <f aca="false">+토지내역!B6</f>
      </c>
      <c r="E12" s="54">
        <f aca="false">+토지내역!C6</f>
      </c>
      <c r="F12" s="55">
        <f aca="false">E12*0.3025</f>
      </c>
      <c r="G12" s="56"/>
      <c r="H12" s="16"/>
      <c r="I12" s="57"/>
      <c r="J12" s="74"/>
      <c r="K12" s="75"/>
      <c r="L12" s="74"/>
      <c r="M12" s="75"/>
      <c r="N12" s="75"/>
      <c r="O12" s="60"/>
      <c r="P12" s="61"/>
      <c r="Q12" s="62"/>
      <c r="R12" s="59"/>
      <c r="S12" s="64"/>
      <c r="T12" s="76"/>
      <c r="U12" s="74"/>
      <c r="V12" s="77"/>
      <c r="W12" s="78"/>
      <c r="X12" s="58"/>
      <c r="Y12" s="64"/>
      <c r="Z12" s="79"/>
      <c r="AA12" s="80"/>
      <c r="AB12" s="81"/>
      <c r="AC12" s="81"/>
      <c r="AD12" s="81"/>
      <c r="AE12" s="71"/>
      <c r="AF12" s="10"/>
      <c r="AG12" s="10"/>
      <c r="AH12" s="10"/>
      <c r="AI12" s="18"/>
      <c r="AJ12" s="10"/>
      <c r="AK12" s="18"/>
      <c r="AL12" s="36"/>
      <c r="AM12" s="36"/>
      <c r="AN12" s="36"/>
      <c r="AO12" s="36"/>
      <c r="AP12" s="72"/>
      <c r="AQ12" s="73"/>
      <c r="AR12" s="73"/>
    </row>
    <row r="13" customFormat="false" ht="24" hidden="false" customHeight="true" outlineLevel="0" collapsed="false">
      <c r="A13" s="12"/>
      <c r="B13" s="51"/>
      <c r="C13" s="52"/>
      <c r="D13" s="82" t="s">
        <v>27</v>
      </c>
      <c r="E13" s="54">
        <f aca="false">+토지내역!C28</f>
      </c>
      <c r="F13" s="55">
        <f aca="false">E13*0.3025</f>
      </c>
      <c r="G13" s="56"/>
      <c r="H13" s="16"/>
      <c r="I13" s="57"/>
      <c r="J13" s="74"/>
      <c r="K13" s="75"/>
      <c r="L13" s="74"/>
      <c r="M13" s="75"/>
      <c r="N13" s="75"/>
      <c r="O13" s="60"/>
      <c r="P13" s="61"/>
      <c r="Q13" s="62"/>
      <c r="R13" s="75"/>
      <c r="S13" s="77"/>
      <c r="T13" s="76"/>
      <c r="U13" s="74"/>
      <c r="V13" s="77"/>
      <c r="W13" s="78"/>
      <c r="X13" s="58"/>
      <c r="Y13" s="64"/>
      <c r="Z13" s="79"/>
      <c r="AA13" s="80"/>
      <c r="AB13" s="83"/>
      <c r="AC13" s="83"/>
      <c r="AD13" s="83"/>
      <c r="AE13" s="84"/>
      <c r="AF13" s="85" t="s">
        <v>28</v>
      </c>
      <c r="AG13" s="85"/>
      <c r="AH13" s="85"/>
      <c r="AI13" s="18"/>
      <c r="AJ13" s="85"/>
      <c r="AK13" s="18"/>
      <c r="AL13" s="36"/>
      <c r="AM13" s="36"/>
      <c r="AN13" s="36"/>
      <c r="AO13" s="36"/>
      <c r="AP13" s="20"/>
      <c r="AQ13" s="86"/>
      <c r="AR13" s="86"/>
    </row>
    <row r="14" customFormat="false" ht="24" hidden="false" customHeight="true" outlineLevel="0" collapsed="false">
      <c r="A14" s="12"/>
      <c r="B14" s="51"/>
      <c r="C14" s="52"/>
      <c r="D14" s="82" t="s">
        <v>27</v>
      </c>
      <c r="E14" s="54">
        <f aca="false">+토지내역!C26</f>
      </c>
      <c r="F14" s="55">
        <f aca="false">E14*0.3025</f>
      </c>
      <c r="G14" s="56"/>
      <c r="H14" s="16"/>
      <c r="I14" s="57"/>
      <c r="J14" s="87"/>
      <c r="K14" s="88"/>
      <c r="L14" s="87"/>
      <c r="M14" s="88"/>
      <c r="N14" s="88"/>
      <c r="O14" s="89"/>
      <c r="P14" s="90"/>
      <c r="Q14" s="91"/>
      <c r="R14" s="75"/>
      <c r="S14" s="77"/>
      <c r="T14" s="92"/>
      <c r="U14" s="74"/>
      <c r="V14" s="93"/>
      <c r="W14" s="94"/>
      <c r="X14" s="74"/>
      <c r="Y14" s="77"/>
      <c r="Z14" s="78"/>
      <c r="AA14" s="95"/>
      <c r="AB14" s="96"/>
      <c r="AC14" s="97"/>
      <c r="AD14" s="97"/>
      <c r="AE14" s="71"/>
      <c r="AF14" s="13"/>
      <c r="AG14" s="13">
        <f aca="false">L25+L26</f>
      </c>
      <c r="AH14" s="13">
        <f aca="false">+AG14/65</f>
      </c>
      <c r="AI14" s="13">
        <f aca="false">+AF14+AH14</f>
      </c>
      <c r="AJ14" s="13"/>
      <c r="AK14" s="18"/>
      <c r="AL14" s="98"/>
      <c r="AM14" s="98"/>
      <c r="AN14" s="98"/>
      <c r="AO14" s="98"/>
      <c r="AP14" s="99"/>
      <c r="AQ14" s="85"/>
    </row>
    <row r="15" customFormat="false" ht="24" hidden="false" customHeight="true" outlineLevel="0" collapsed="false">
      <c r="A15" s="12"/>
      <c r="B15" s="51"/>
      <c r="C15" s="52"/>
      <c r="D15" s="82" t="s">
        <v>19</v>
      </c>
      <c r="E15" s="54">
        <f aca="false">+E9+E10-E13-E14</f>
      </c>
      <c r="F15" s="55">
        <f aca="false">E15*0.3025</f>
      </c>
      <c r="G15" s="56"/>
      <c r="H15" s="16"/>
      <c r="I15" s="57"/>
      <c r="J15" s="87"/>
      <c r="K15" s="88"/>
      <c r="L15" s="87"/>
      <c r="M15" s="88"/>
      <c r="N15" s="88"/>
      <c r="O15" s="89"/>
      <c r="P15" s="90"/>
      <c r="Q15" s="91"/>
      <c r="R15" s="75"/>
      <c r="S15" s="77"/>
      <c r="T15" s="92"/>
      <c r="U15" s="74"/>
      <c r="V15" s="93"/>
      <c r="W15" s="94"/>
      <c r="X15" s="74"/>
      <c r="Y15" s="77"/>
      <c r="Z15" s="78"/>
      <c r="AA15" s="95"/>
      <c r="AB15" s="96"/>
      <c r="AC15" s="97"/>
      <c r="AD15" s="97"/>
      <c r="AE15" s="71"/>
      <c r="AF15" s="85"/>
      <c r="AG15" s="85"/>
      <c r="AH15" s="85"/>
      <c r="AI15" s="18"/>
      <c r="AJ15" s="85"/>
      <c r="AK15" s="18"/>
      <c r="AL15" s="98"/>
      <c r="AM15" s="98"/>
      <c r="AN15" s="98"/>
      <c r="AO15" s="98"/>
      <c r="AP15" s="99"/>
      <c r="AQ15" s="85"/>
    </row>
    <row r="16" customFormat="false" ht="24" hidden="false" customHeight="true" outlineLevel="0" collapsed="false">
      <c r="A16" s="12"/>
      <c r="B16" s="51"/>
      <c r="C16" s="100" t="s">
        <v>29</v>
      </c>
      <c r="D16" s="101" t="str">
        <f aca="false">+Sheet1!E4</f>
      </c>
      <c r="E16" s="101"/>
      <c r="F16" s="101"/>
      <c r="G16" s="101"/>
      <c r="H16" s="16"/>
      <c r="I16" s="57"/>
      <c r="J16" s="87"/>
      <c r="K16" s="88"/>
      <c r="L16" s="87"/>
      <c r="M16" s="88"/>
      <c r="N16" s="88"/>
      <c r="O16" s="89"/>
      <c r="P16" s="90"/>
      <c r="Q16" s="91"/>
      <c r="R16" s="75"/>
      <c r="S16" s="77"/>
      <c r="T16" s="92"/>
      <c r="U16" s="74"/>
      <c r="V16" s="93"/>
      <c r="W16" s="94"/>
      <c r="X16" s="74"/>
      <c r="Y16" s="77"/>
      <c r="Z16" s="78"/>
      <c r="AA16" s="95"/>
      <c r="AB16" s="96"/>
      <c r="AC16" s="97"/>
      <c r="AD16" s="97"/>
      <c r="AE16" s="71"/>
      <c r="AF16" s="85"/>
      <c r="AG16" s="85"/>
      <c r="AH16" s="102"/>
      <c r="AI16" s="103"/>
      <c r="AJ16" s="102"/>
      <c r="AK16" s="103"/>
      <c r="AL16" s="98"/>
      <c r="AM16" s="98"/>
      <c r="AN16" s="98"/>
      <c r="AO16" s="98"/>
      <c r="AP16" s="85"/>
      <c r="AQ16" s="85"/>
    </row>
    <row r="17" customFormat="false" ht="24" hidden="false" customHeight="true" outlineLevel="0" collapsed="false">
      <c r="A17" s="12"/>
      <c r="B17" s="104"/>
      <c r="C17" s="105" t="s">
        <v>30</v>
      </c>
      <c r="D17" s="106"/>
      <c r="E17" s="107"/>
      <c r="F17" s="107"/>
      <c r="G17" s="107"/>
      <c r="H17" s="16"/>
      <c r="I17" s="57"/>
      <c r="J17" s="108"/>
      <c r="K17" s="109"/>
      <c r="L17" s="108"/>
      <c r="M17" s="109"/>
      <c r="N17" s="109"/>
      <c r="O17" s="110"/>
      <c r="P17" s="90"/>
      <c r="Q17" s="91"/>
      <c r="R17" s="75"/>
      <c r="S17" s="77"/>
      <c r="T17" s="92"/>
      <c r="U17" s="74"/>
      <c r="V17" s="93"/>
      <c r="W17" s="94"/>
      <c r="X17" s="74"/>
      <c r="Y17" s="77"/>
      <c r="Z17" s="78"/>
      <c r="AA17" s="95"/>
      <c r="AB17" s="96"/>
      <c r="AC17" s="97"/>
      <c r="AD17" s="97"/>
      <c r="AE17" s="71"/>
      <c r="AF17" s="85"/>
      <c r="AG17" s="85"/>
      <c r="AH17" s="85"/>
      <c r="AI17" s="18"/>
      <c r="AJ17" s="85"/>
      <c r="AK17" s="18"/>
      <c r="AL17" s="98"/>
      <c r="AM17" s="98"/>
      <c r="AN17" s="98"/>
      <c r="AO17" s="98"/>
      <c r="AP17" s="85"/>
      <c r="AQ17" s="85"/>
    </row>
    <row r="18" customFormat="false" ht="24" hidden="false" customHeight="true" outlineLevel="0" collapsed="false">
      <c r="A18" s="12"/>
      <c r="B18" s="38" t="s">
        <v>31</v>
      </c>
      <c r="C18" s="39" t="s">
        <v>32</v>
      </c>
      <c r="D18" s="111"/>
      <c r="E18" s="111"/>
      <c r="F18" s="111"/>
      <c r="G18" s="111"/>
      <c r="H18" s="16"/>
      <c r="I18" s="57"/>
      <c r="J18" s="87"/>
      <c r="K18" s="88"/>
      <c r="L18" s="87"/>
      <c r="M18" s="88"/>
      <c r="N18" s="88"/>
      <c r="O18" s="89"/>
      <c r="P18" s="90"/>
      <c r="Q18" s="91"/>
      <c r="R18" s="75"/>
      <c r="S18" s="77"/>
      <c r="T18" s="92"/>
      <c r="U18" s="74"/>
      <c r="V18" s="93"/>
      <c r="W18" s="94"/>
      <c r="X18" s="74"/>
      <c r="Y18" s="77"/>
      <c r="Z18" s="78"/>
      <c r="AA18" s="95"/>
      <c r="AB18" s="96"/>
      <c r="AC18" s="97"/>
      <c r="AD18" s="97"/>
      <c r="AE18" s="71"/>
      <c r="AF18" s="85"/>
      <c r="AG18" s="85"/>
      <c r="AH18" s="85"/>
      <c r="AI18" s="18"/>
      <c r="AJ18" s="112"/>
      <c r="AK18" s="113"/>
      <c r="AL18" s="98"/>
      <c r="AM18" s="98"/>
      <c r="AN18" s="98"/>
      <c r="AO18" s="98"/>
      <c r="AP18" s="85"/>
      <c r="AQ18" s="85"/>
    </row>
    <row r="19" customFormat="false" ht="24" hidden="false" customHeight="true" outlineLevel="0" collapsed="false">
      <c r="A19" s="12"/>
      <c r="B19" s="51"/>
      <c r="C19" s="100" t="s">
        <v>34</v>
      </c>
      <c r="D19" s="114"/>
      <c r="E19" s="114"/>
      <c r="F19" s="114"/>
      <c r="G19" s="115"/>
      <c r="H19" s="16"/>
      <c r="I19" s="57"/>
      <c r="J19" s="87"/>
      <c r="K19" s="88"/>
      <c r="L19" s="87"/>
      <c r="M19" s="88"/>
      <c r="N19" s="88"/>
      <c r="O19" s="89"/>
      <c r="P19" s="90"/>
      <c r="Q19" s="91"/>
      <c r="R19" s="75"/>
      <c r="S19" s="77"/>
      <c r="T19" s="92"/>
      <c r="U19" s="74"/>
      <c r="V19" s="93"/>
      <c r="W19" s="94"/>
      <c r="X19" s="74"/>
      <c r="Y19" s="77"/>
      <c r="Z19" s="78"/>
      <c r="AA19" s="95"/>
      <c r="AB19" s="96"/>
      <c r="AC19" s="97"/>
      <c r="AD19" s="97"/>
      <c r="AE19" s="71"/>
      <c r="AF19" s="85"/>
      <c r="AG19" s="85"/>
      <c r="AH19" s="116"/>
      <c r="AI19" s="117"/>
      <c r="AJ19" s="116"/>
      <c r="AK19" s="117"/>
      <c r="AL19" s="102"/>
      <c r="AM19" s="102"/>
      <c r="AN19" s="102"/>
      <c r="AO19" s="102"/>
      <c r="AP19" s="85"/>
      <c r="AQ19" s="85"/>
    </row>
    <row r="20" customFormat="false" ht="24" hidden="false" customHeight="true" outlineLevel="0" collapsed="false">
      <c r="A20" s="12"/>
      <c r="B20" s="51"/>
      <c r="C20" s="100" t="s">
        <v>36</v>
      </c>
      <c r="D20" s="118"/>
      <c r="E20" s="119">
        <f aca="false">D20*0.3025</f>
      </c>
      <c r="F20" s="120"/>
      <c r="G20" s="120"/>
      <c r="H20" s="16"/>
      <c r="I20" s="57"/>
      <c r="J20" s="87"/>
      <c r="K20" s="88"/>
      <c r="L20" s="87"/>
      <c r="M20" s="88"/>
      <c r="N20" s="88"/>
      <c r="O20" s="89"/>
      <c r="P20" s="90"/>
      <c r="Q20" s="91"/>
      <c r="R20" s="75"/>
      <c r="S20" s="77"/>
      <c r="T20" s="92"/>
      <c r="U20" s="74"/>
      <c r="V20" s="93"/>
      <c r="W20" s="94"/>
      <c r="X20" s="74"/>
      <c r="Y20" s="77"/>
      <c r="Z20" s="78"/>
      <c r="AA20" s="95"/>
      <c r="AB20" s="96"/>
      <c r="AC20" s="97"/>
      <c r="AD20" s="97"/>
      <c r="AE20" s="71"/>
      <c r="AF20" s="85"/>
      <c r="AG20" s="85"/>
      <c r="AH20" s="85"/>
      <c r="AI20" s="18"/>
      <c r="AJ20" s="85"/>
      <c r="AK20" s="18"/>
      <c r="AL20" s="85"/>
      <c r="AM20" s="85"/>
      <c r="AN20" s="85"/>
      <c r="AO20" s="85"/>
      <c r="AP20" s="85"/>
      <c r="AQ20" s="85"/>
    </row>
    <row r="21" customFormat="false" ht="24" hidden="false" customHeight="true" outlineLevel="0" collapsed="false">
      <c r="A21" s="12"/>
      <c r="B21" s="51"/>
      <c r="C21" s="121" t="s">
        <v>37</v>
      </c>
      <c r="D21" s="122" t="s">
        <v>38</v>
      </c>
      <c r="E21" s="123">
        <f aca="false">AA29</f>
      </c>
      <c r="F21" s="124">
        <f aca="false">E21*0.3025</f>
      </c>
      <c r="G21" s="125"/>
      <c r="H21" s="16"/>
      <c r="I21" s="57"/>
      <c r="J21" s="87"/>
      <c r="K21" s="88"/>
      <c r="L21" s="87"/>
      <c r="M21" s="88"/>
      <c r="N21" s="88"/>
      <c r="O21" s="89"/>
      <c r="P21" s="90"/>
      <c r="Q21" s="91"/>
      <c r="R21" s="75"/>
      <c r="S21" s="77"/>
      <c r="T21" s="92"/>
      <c r="U21" s="74"/>
      <c r="V21" s="93"/>
      <c r="W21" s="94"/>
      <c r="X21" s="74"/>
      <c r="Y21" s="77"/>
      <c r="Z21" s="78"/>
      <c r="AA21" s="95"/>
      <c r="AB21" s="96"/>
      <c r="AC21" s="97"/>
      <c r="AD21" s="97"/>
      <c r="AE21" s="71"/>
      <c r="AF21" s="85"/>
      <c r="AG21" s="85"/>
      <c r="AH21" s="85"/>
      <c r="AI21" s="18"/>
      <c r="AJ21" s="85"/>
      <c r="AK21" s="18"/>
      <c r="AL21" s="98"/>
      <c r="AM21" s="98"/>
      <c r="AN21" s="98"/>
      <c r="AO21" s="98"/>
      <c r="AP21" s="85"/>
      <c r="AQ21" s="85"/>
    </row>
    <row r="22" customFormat="false" ht="24" hidden="false" customHeight="true" outlineLevel="0" collapsed="false">
      <c r="A22" s="12"/>
      <c r="B22" s="51"/>
      <c r="C22" s="121"/>
      <c r="D22" s="122" t="s">
        <v>39</v>
      </c>
      <c r="E22" s="123">
        <f aca="false">AA36</f>
      </c>
      <c r="F22" s="124">
        <f aca="false">E22*0.3025</f>
      </c>
      <c r="G22" s="125"/>
      <c r="H22" s="16"/>
      <c r="I22" s="57"/>
      <c r="J22" s="87"/>
      <c r="K22" s="88"/>
      <c r="L22" s="87"/>
      <c r="M22" s="88"/>
      <c r="N22" s="126"/>
      <c r="O22" s="127"/>
      <c r="P22" s="90">
        <f aca="false">J22+N22</f>
      </c>
      <c r="Q22" s="91"/>
      <c r="R22" s="75"/>
      <c r="S22" s="77"/>
      <c r="T22" s="92"/>
      <c r="U22" s="74"/>
      <c r="V22" s="93"/>
      <c r="W22" s="94"/>
      <c r="X22" s="74"/>
      <c r="Y22" s="77"/>
      <c r="Z22" s="78"/>
      <c r="AA22" s="95"/>
      <c r="AB22" s="96"/>
      <c r="AC22" s="97"/>
      <c r="AD22" s="97"/>
      <c r="AE22" s="71"/>
      <c r="AF22" s="85"/>
      <c r="AG22" s="85"/>
      <c r="AH22" s="85"/>
      <c r="AI22" s="18"/>
      <c r="AJ22" s="85"/>
      <c r="AK22" s="18"/>
      <c r="AL22" s="98"/>
      <c r="AM22" s="98"/>
      <c r="AN22" s="98"/>
      <c r="AO22" s="98"/>
      <c r="AP22" s="85"/>
      <c r="AQ22" s="85"/>
    </row>
    <row r="23" customFormat="false" ht="24" hidden="false" customHeight="true" outlineLevel="0" collapsed="false">
      <c r="A23" s="12"/>
      <c r="B23" s="51"/>
      <c r="C23" s="121"/>
      <c r="D23" s="128" t="s">
        <v>19</v>
      </c>
      <c r="E23" s="129">
        <f aca="false">SUM(E21:E22)</f>
      </c>
      <c r="F23" s="124">
        <f aca="false">E23*0.3025</f>
      </c>
      <c r="G23" s="130"/>
      <c r="H23" s="16"/>
      <c r="I23" s="57"/>
      <c r="J23" s="87"/>
      <c r="K23" s="88"/>
      <c r="L23" s="87"/>
      <c r="M23" s="88"/>
      <c r="N23" s="126"/>
      <c r="O23" s="127"/>
      <c r="P23" s="90">
        <f aca="false">J23+N23</f>
      </c>
      <c r="Q23" s="91"/>
      <c r="R23" s="75"/>
      <c r="S23" s="77"/>
      <c r="T23" s="92"/>
      <c r="U23" s="74"/>
      <c r="V23" s="93"/>
      <c r="W23" s="94"/>
      <c r="X23" s="74"/>
      <c r="Y23" s="77"/>
      <c r="Z23" s="78"/>
      <c r="AA23" s="95"/>
      <c r="AB23" s="96"/>
      <c r="AC23" s="97"/>
      <c r="AD23" s="97"/>
      <c r="AE23" s="71"/>
      <c r="AF23" s="131" t="s">
        <v>40</v>
      </c>
      <c r="AG23" s="131" t="s">
        <v>25</v>
      </c>
      <c r="AH23" s="131"/>
      <c r="AI23" s="131"/>
      <c r="AJ23" s="131"/>
      <c r="AK23" s="131"/>
      <c r="AL23" s="132"/>
      <c r="AM23" s="132"/>
      <c r="AN23" s="132"/>
      <c r="AO23" s="132"/>
      <c r="AP23" s="131"/>
      <c r="AQ23" s="131"/>
      <c r="AR23" s="133" t="s">
        <v>41</v>
      </c>
    </row>
    <row r="24" customFormat="false" ht="24" hidden="false" customHeight="true" outlineLevel="0" collapsed="false">
      <c r="A24" s="12"/>
      <c r="B24" s="51"/>
      <c r="C24" s="134" t="s">
        <v>42</v>
      </c>
      <c r="D24" s="135">
        <f aca="false">D20/$E$15</f>
      </c>
      <c r="E24" s="136" t="s">
        <v>43</v>
      </c>
      <c r="F24" s="137"/>
      <c r="G24" s="138"/>
      <c r="H24" s="16"/>
      <c r="I24" s="57"/>
      <c r="J24" s="87"/>
      <c r="K24" s="88"/>
      <c r="L24" s="87"/>
      <c r="M24" s="88"/>
      <c r="N24" s="126"/>
      <c r="O24" s="127"/>
      <c r="P24" s="90">
        <f aca="false">J24+N24</f>
      </c>
      <c r="Q24" s="91"/>
      <c r="R24" s="75"/>
      <c r="S24" s="77"/>
      <c r="T24" s="92"/>
      <c r="U24" s="139"/>
      <c r="V24" s="140"/>
      <c r="W24" s="94"/>
      <c r="X24" s="141"/>
      <c r="Y24" s="142"/>
      <c r="Z24" s="143"/>
      <c r="AA24" s="144"/>
      <c r="AB24" s="96"/>
      <c r="AC24" s="97"/>
      <c r="AD24" s="97"/>
      <c r="AE24" s="71" t="s">
        <v>44</v>
      </c>
      <c r="AF24" s="85"/>
      <c r="AG24" s="85"/>
      <c r="AH24" s="85"/>
      <c r="AI24" s="131"/>
      <c r="AJ24" s="85"/>
      <c r="AK24" s="131"/>
      <c r="AL24" s="98"/>
      <c r="AM24" s="98"/>
      <c r="AN24" s="98"/>
      <c r="AO24" s="98"/>
      <c r="AP24" s="85">
        <f aca="false">SUM(AG24:AO24)</f>
      </c>
      <c r="AQ24" s="131"/>
      <c r="AR24" s="98">
        <f aca="false">+AF24-AP24</f>
      </c>
      <c r="AS24" s="2"/>
      <c r="AT24" s="2">
        <f aca="false">+AR24*AS24</f>
      </c>
    </row>
    <row r="25" customFormat="false" ht="24" hidden="false" customHeight="true" outlineLevel="0" collapsed="false">
      <c r="A25" s="5"/>
      <c r="B25" s="51"/>
      <c r="C25" s="145" t="s">
        <v>45</v>
      </c>
      <c r="D25" s="146">
        <f aca="false">(P29)/$E$15</f>
      </c>
      <c r="E25" s="147" t="s">
        <v>43</v>
      </c>
      <c r="F25" s="148"/>
      <c r="G25" s="149"/>
      <c r="H25" s="16"/>
      <c r="I25" s="57" t="s">
        <v>46</v>
      </c>
      <c r="J25" s="87"/>
      <c r="K25" s="88">
        <f aca="false">+J25*0.3025</f>
      </c>
      <c r="L25" s="87"/>
      <c r="M25" s="88">
        <f aca="false">+L25*0.3025</f>
      </c>
      <c r="N25" s="88"/>
      <c r="O25" s="88">
        <f aca="false">+N25*0.3025</f>
      </c>
      <c r="P25" s="150">
        <f aca="false">J25+N25+L25</f>
      </c>
      <c r="Q25" s="151">
        <f aca="false">+P25*0.3025</f>
      </c>
      <c r="R25" s="126"/>
      <c r="S25" s="152"/>
      <c r="T25" s="153">
        <f aca="false">R25+S25</f>
      </c>
      <c r="U25" s="139"/>
      <c r="V25" s="140"/>
      <c r="W25" s="94">
        <f aca="false">+U25+V25</f>
      </c>
      <c r="X25" s="141"/>
      <c r="Y25" s="142"/>
      <c r="Z25" s="143"/>
      <c r="AA25" s="144">
        <f aca="false">+SUM(P25,T25,W25,X25,Y25,Z25)</f>
      </c>
      <c r="AB25" s="154" t="s">
        <v>47</v>
      </c>
      <c r="AC25" s="154"/>
      <c r="AD25" s="154"/>
      <c r="AE25" s="71"/>
      <c r="AF25" s="85"/>
      <c r="AG25" s="131"/>
      <c r="AH25" s="85"/>
      <c r="AI25" s="131"/>
      <c r="AJ25" s="85"/>
      <c r="AK25" s="131"/>
      <c r="AL25" s="98"/>
      <c r="AM25" s="98"/>
      <c r="AN25" s="98"/>
      <c r="AO25" s="98"/>
      <c r="AP25" s="85"/>
      <c r="AQ25" s="131"/>
      <c r="AR25" s="98"/>
    </row>
    <row r="26" customFormat="false" ht="24" hidden="false" customHeight="true" outlineLevel="0" collapsed="false">
      <c r="A26" s="5"/>
      <c r="B26" s="38" t="s">
        <v>48</v>
      </c>
      <c r="C26" s="155" t="s">
        <v>49</v>
      </c>
      <c r="D26" s="156" t="s">
        <v>50</v>
      </c>
      <c r="E26" s="157"/>
      <c r="F26" s="158"/>
      <c r="G26" s="159">
        <f aca="false">AI14</f>
      </c>
      <c r="H26" s="16"/>
      <c r="I26" s="57"/>
      <c r="J26" s="87"/>
      <c r="K26" s="88">
        <f aca="false">+J26*0.3025</f>
      </c>
      <c r="L26" s="87"/>
      <c r="M26" s="88">
        <f aca="false">+L26*0.3025</f>
      </c>
      <c r="N26" s="88"/>
      <c r="O26" s="88">
        <f aca="false">+N26*0.3025</f>
      </c>
      <c r="P26" s="150">
        <f aca="false">J26+N26+L26</f>
      </c>
      <c r="Q26" s="91">
        <f aca="false">+P26*0.3025</f>
      </c>
      <c r="R26" s="126"/>
      <c r="S26" s="152"/>
      <c r="T26" s="153">
        <f aca="false">R26+S26</f>
      </c>
      <c r="U26" s="74"/>
      <c r="V26" s="93"/>
      <c r="W26" s="94">
        <f aca="false">+U26+V26</f>
      </c>
      <c r="X26" s="74"/>
      <c r="Y26" s="77"/>
      <c r="Z26" s="78"/>
      <c r="AA26" s="144">
        <f aca="false">+SUM(P26,T26,W26,X26,Y26,Z26)</f>
      </c>
      <c r="AB26" s="154"/>
      <c r="AC26" s="154"/>
      <c r="AD26" s="154"/>
      <c r="AE26" s="71"/>
      <c r="AF26" s="85"/>
      <c r="AG26" s="131"/>
      <c r="AH26" s="85"/>
      <c r="AI26" s="131"/>
      <c r="AJ26" s="85"/>
      <c r="AK26" s="131"/>
      <c r="AL26" s="160"/>
      <c r="AM26" s="160"/>
      <c r="AN26" s="160"/>
      <c r="AO26" s="160"/>
      <c r="AP26" s="85"/>
      <c r="AQ26" s="131"/>
      <c r="AR26" s="98"/>
    </row>
    <row r="27" customFormat="false" ht="24" hidden="false" customHeight="true" outlineLevel="0" collapsed="false">
      <c r="A27" s="12"/>
      <c r="B27" s="51"/>
      <c r="C27" s="161"/>
      <c r="D27" s="162" t="s">
        <v>51</v>
      </c>
      <c r="E27" s="163">
        <f aca="false">L63</f>
      </c>
      <c r="F27" s="164"/>
      <c r="G27" s="165">
        <f aca="false">E27/134</f>
      </c>
      <c r="H27" s="166"/>
      <c r="I27" s="57"/>
      <c r="J27" s="87"/>
      <c r="K27" s="88">
        <f aca="false">+J27*0.3025</f>
      </c>
      <c r="L27" s="87"/>
      <c r="M27" s="88">
        <f aca="false">+L27*0.3025</f>
      </c>
      <c r="N27" s="88"/>
      <c r="O27" s="88">
        <f aca="false">+N27*0.3025</f>
      </c>
      <c r="P27" s="150">
        <f aca="false">J27+N27+L27</f>
      </c>
      <c r="Q27" s="91">
        <f aca="false">+P27*0.3025</f>
      </c>
      <c r="R27" s="126"/>
      <c r="S27" s="152"/>
      <c r="T27" s="153">
        <f aca="false">R27+S27</f>
      </c>
      <c r="U27" s="139"/>
      <c r="V27" s="140"/>
      <c r="W27" s="167">
        <f aca="false">+U27+V27</f>
      </c>
      <c r="X27" s="74"/>
      <c r="Y27" s="77"/>
      <c r="Z27" s="78"/>
      <c r="AA27" s="144">
        <f aca="false">+SUM(P27,T27,W27,X27,Y27,Z27)</f>
      </c>
      <c r="AB27" s="154" t="s">
        <v>47</v>
      </c>
      <c r="AC27" s="154"/>
      <c r="AD27" s="154"/>
      <c r="AE27" s="71"/>
      <c r="AF27" s="85"/>
      <c r="AG27" s="131"/>
      <c r="AH27" s="85"/>
      <c r="AI27" s="131"/>
      <c r="AJ27" s="85"/>
      <c r="AK27" s="131"/>
      <c r="AL27" s="160"/>
      <c r="AM27" s="160"/>
      <c r="AN27" s="160"/>
      <c r="AO27" s="160"/>
      <c r="AP27" s="85"/>
      <c r="AQ27" s="131"/>
      <c r="AR27" s="160"/>
    </row>
    <row r="28" customFormat="false" ht="24" hidden="false" customHeight="true" outlineLevel="0" collapsed="false">
      <c r="A28" s="12"/>
      <c r="B28" s="51"/>
      <c r="C28" s="161"/>
      <c r="D28" s="168"/>
      <c r="E28" s="163"/>
      <c r="F28" s="164"/>
      <c r="G28" s="165"/>
      <c r="H28" s="166"/>
      <c r="I28" s="57"/>
      <c r="J28" s="169"/>
      <c r="K28" s="88">
        <f aca="false">+J28*0.3025</f>
      </c>
      <c r="L28" s="169"/>
      <c r="M28" s="88">
        <f aca="false">+L28*0.3025</f>
      </c>
      <c r="N28" s="88"/>
      <c r="O28" s="88">
        <f aca="false">+N28*0.3025</f>
      </c>
      <c r="P28" s="150">
        <f aca="false">J28+N28+L28</f>
      </c>
      <c r="Q28" s="91">
        <f aca="false">+P28*0.3025</f>
      </c>
      <c r="R28" s="126"/>
      <c r="S28" s="152"/>
      <c r="T28" s="153">
        <f aca="false">R28+S28</f>
      </c>
      <c r="U28" s="139"/>
      <c r="V28" s="140"/>
      <c r="W28" s="167">
        <f aca="false">+U28+V28</f>
      </c>
      <c r="X28" s="74"/>
      <c r="Y28" s="77"/>
      <c r="Z28" s="78"/>
      <c r="AA28" s="144">
        <f aca="false">+SUM(P28,T28,W28,X28,Y28,Z28)</f>
      </c>
      <c r="AB28" s="170" t="s">
        <v>52</v>
      </c>
      <c r="AC28" s="170"/>
      <c r="AD28" s="170"/>
      <c r="AE28" s="71"/>
      <c r="AF28" s="85"/>
      <c r="AG28" s="131"/>
      <c r="AH28" s="85"/>
      <c r="AI28" s="131"/>
      <c r="AJ28" s="85"/>
      <c r="AK28" s="131"/>
      <c r="AL28" s="160"/>
      <c r="AM28" s="160"/>
      <c r="AN28" s="160"/>
      <c r="AO28" s="160"/>
      <c r="AP28" s="85"/>
      <c r="AQ28" s="131"/>
      <c r="AR28" s="160"/>
    </row>
    <row r="29" customFormat="false" ht="24" hidden="false" customHeight="true" outlineLevel="0" collapsed="false">
      <c r="A29" s="12"/>
      <c r="B29" s="51"/>
      <c r="C29" s="161"/>
      <c r="D29" s="162"/>
      <c r="E29" s="171"/>
      <c r="F29" s="158"/>
      <c r="G29" s="165"/>
      <c r="H29" s="166"/>
      <c r="I29" s="172" t="s">
        <v>53</v>
      </c>
      <c r="J29" s="173">
        <f aca="false">SUM(J25:J28)</f>
      </c>
      <c r="K29" s="174">
        <f aca="false">+J29*0.3025</f>
      </c>
      <c r="L29" s="173">
        <f aca="false">SUM(L25:L28)</f>
      </c>
      <c r="M29" s="174">
        <f aca="false">+L29*0.3025</f>
      </c>
      <c r="N29" s="175">
        <f aca="false">SUM(N9:N28)</f>
      </c>
      <c r="O29" s="176">
        <f aca="false">+N29*0.3025</f>
      </c>
      <c r="P29" s="177">
        <f aca="false">SUM(P25:P28)</f>
      </c>
      <c r="Q29" s="178">
        <f aca="false">+P29*0.3025</f>
      </c>
      <c r="R29" s="174"/>
      <c r="S29" s="177"/>
      <c r="T29" s="178">
        <f aca="false">SUM(T9:T28)</f>
      </c>
      <c r="U29" s="173">
        <f aca="false">SUM(U9:U28)</f>
      </c>
      <c r="V29" s="177">
        <f aca="false">SUM(V9:V28)</f>
      </c>
      <c r="W29" s="178">
        <f aca="false">SUM(W9:W28)</f>
      </c>
      <c r="X29" s="173">
        <f aca="false">SUM(X9:X28)</f>
      </c>
      <c r="Y29" s="177">
        <f aca="false">SUM(Y9:Y28)</f>
      </c>
      <c r="Z29" s="178">
        <f aca="false">SUM(Z9:Z28)</f>
      </c>
      <c r="AA29" s="179">
        <f aca="false">+SUM(P29,T29,W29,X29,Y29,Z29)</f>
      </c>
      <c r="AB29" s="170"/>
      <c r="AC29" s="170"/>
      <c r="AD29" s="170"/>
      <c r="AE29" s="180"/>
      <c r="AF29" s="131">
        <f aca="false">+J28+N28+J30+N30</f>
      </c>
      <c r="AG29" s="131">
        <f aca="false">+AF29/134</f>
      </c>
      <c r="AH29" s="131"/>
      <c r="AI29" s="131"/>
      <c r="AJ29" s="85"/>
      <c r="AK29" s="131"/>
      <c r="AL29" s="181"/>
      <c r="AM29" s="181"/>
      <c r="AN29" s="181"/>
      <c r="AO29" s="181"/>
      <c r="AP29" s="182"/>
      <c r="AQ29" s="182"/>
      <c r="AR29" s="183"/>
    </row>
    <row r="30" customFormat="false" ht="24" hidden="false" customHeight="true" outlineLevel="0" collapsed="false">
      <c r="A30" s="12"/>
      <c r="B30" s="51"/>
      <c r="C30" s="161"/>
      <c r="D30" s="162" t="s">
        <v>14</v>
      </c>
      <c r="E30" s="184"/>
      <c r="F30" s="185"/>
      <c r="G30" s="186"/>
      <c r="H30" s="166"/>
      <c r="I30" s="187"/>
      <c r="J30" s="188"/>
      <c r="K30" s="88">
        <f aca="false">+J30*0.3025</f>
      </c>
      <c r="L30" s="189"/>
      <c r="M30" s="189">
        <f aca="false">+L30*0.3025</f>
      </c>
      <c r="N30" s="190"/>
      <c r="O30" s="88">
        <f aca="false">+N30*0.3025</f>
      </c>
      <c r="P30" s="191">
        <f aca="false">J30+N30+L30</f>
      </c>
      <c r="Q30" s="91">
        <f aca="false">+P30*0.3025</f>
      </c>
      <c r="R30" s="192"/>
      <c r="S30" s="193"/>
      <c r="T30" s="194">
        <f aca="false">R30+S30</f>
      </c>
      <c r="U30" s="195">
        <f aca="false">+AE30</f>
      </c>
      <c r="V30" s="190">
        <f aca="false">+AF30+AJ30</f>
      </c>
      <c r="W30" s="196">
        <f aca="false">+U30+V30</f>
      </c>
      <c r="X30" s="197"/>
      <c r="Y30" s="198"/>
      <c r="Z30" s="199"/>
      <c r="AA30" s="144">
        <f aca="false">+SUM(P30,T30,W30,X30,Y30,Z30)</f>
      </c>
      <c r="AB30" s="200" t="s">
        <v>54</v>
      </c>
      <c r="AC30" s="200"/>
      <c r="AD30" s="200"/>
      <c r="AE30" s="71"/>
      <c r="AF30" s="131"/>
      <c r="AG30" s="131"/>
      <c r="AH30" s="131"/>
      <c r="AI30" s="131"/>
      <c r="AJ30" s="85"/>
      <c r="AK30" s="131"/>
      <c r="AL30" s="160"/>
      <c r="AM30" s="160"/>
      <c r="AN30" s="160"/>
      <c r="AO30" s="160"/>
      <c r="AP30" s="182"/>
      <c r="AQ30" s="182"/>
      <c r="AR30" s="201"/>
    </row>
    <row r="31" customFormat="false" ht="24" hidden="false" customHeight="true" outlineLevel="0" collapsed="false">
      <c r="A31" s="12"/>
      <c r="B31" s="51"/>
      <c r="C31" s="145" t="s">
        <v>55</v>
      </c>
      <c r="D31" s="202" t="s">
        <v>38</v>
      </c>
      <c r="E31" s="203" t="s">
        <v>56</v>
      </c>
      <c r="F31" s="203"/>
      <c r="G31" s="204"/>
      <c r="H31" s="166"/>
      <c r="I31" s="187"/>
      <c r="J31" s="139"/>
      <c r="K31" s="205"/>
      <c r="L31" s="205"/>
      <c r="M31" s="205"/>
      <c r="N31" s="206"/>
      <c r="O31" s="206"/>
      <c r="P31" s="191"/>
      <c r="Q31" s="207"/>
      <c r="R31" s="208"/>
      <c r="S31" s="209"/>
      <c r="T31" s="62">
        <f aca="false">R31+S31</f>
      </c>
      <c r="U31" s="210"/>
      <c r="V31" s="140"/>
      <c r="W31" s="211">
        <f aca="false">+U31+V31</f>
      </c>
      <c r="X31" s="141"/>
      <c r="Y31" s="212"/>
      <c r="Z31" s="167"/>
      <c r="AA31" s="144">
        <f aca="false">+SUM(P31,T31,W31,X31,Y31,Z31)</f>
      </c>
      <c r="AB31" s="96"/>
      <c r="AC31" s="96"/>
      <c r="AD31" s="96"/>
      <c r="AE31" s="71"/>
      <c r="AF31" s="213"/>
      <c r="AG31" s="213"/>
      <c r="AH31" s="213"/>
      <c r="AI31" s="213"/>
      <c r="AJ31" s="85"/>
      <c r="AK31" s="131"/>
      <c r="AL31" s="160"/>
      <c r="AM31" s="160"/>
      <c r="AN31" s="160"/>
      <c r="AO31" s="160"/>
      <c r="AP31" s="160"/>
      <c r="AQ31" s="182"/>
      <c r="AR31" s="201"/>
    </row>
    <row r="32" customFormat="false" ht="24" hidden="false" customHeight="true" outlineLevel="0" collapsed="false">
      <c r="A32" s="12"/>
      <c r="B32" s="214"/>
      <c r="C32" s="215"/>
      <c r="D32" s="128" t="s">
        <v>39</v>
      </c>
      <c r="E32" s="216" t="s">
        <v>56</v>
      </c>
      <c r="F32" s="216"/>
      <c r="G32" s="217"/>
      <c r="H32" s="166"/>
      <c r="I32" s="187"/>
      <c r="J32" s="74"/>
      <c r="K32" s="75"/>
      <c r="L32" s="75"/>
      <c r="M32" s="75"/>
      <c r="N32" s="77"/>
      <c r="O32" s="60"/>
      <c r="P32" s="62">
        <f aca="false">J32+N32</f>
      </c>
      <c r="Q32" s="218"/>
      <c r="R32" s="208"/>
      <c r="S32" s="209"/>
      <c r="T32" s="62">
        <f aca="false">R32+S32</f>
      </c>
      <c r="U32" s="219"/>
      <c r="V32" s="93"/>
      <c r="W32" s="94">
        <f aca="false">+U32+V32</f>
      </c>
      <c r="X32" s="74"/>
      <c r="Y32" s="93">
        <f aca="false">+AA32-X32</f>
      </c>
      <c r="Z32" s="94"/>
      <c r="AA32" s="220">
        <f aca="false">+AH32</f>
      </c>
      <c r="AB32" s="97"/>
      <c r="AC32" s="97"/>
      <c r="AD32" s="97"/>
      <c r="AE32" s="71"/>
      <c r="AF32" s="85"/>
      <c r="AG32" s="85"/>
      <c r="AH32" s="131"/>
      <c r="AI32" s="131"/>
      <c r="AJ32" s="85"/>
      <c r="AK32" s="131"/>
      <c r="AL32" s="160"/>
      <c r="AM32" s="160"/>
      <c r="AN32" s="160"/>
      <c r="AO32" s="160"/>
      <c r="AP32" s="182"/>
      <c r="AQ32" s="182"/>
      <c r="AR32" s="201"/>
    </row>
    <row r="33" customFormat="false" ht="24" hidden="false" customHeight="true" outlineLevel="0" collapsed="false">
      <c r="A33" s="12"/>
      <c r="B33" s="221"/>
      <c r="C33" s="222"/>
      <c r="D33" s="223"/>
      <c r="E33" s="224"/>
      <c r="F33" s="225"/>
      <c r="G33" s="224"/>
      <c r="H33" s="166"/>
      <c r="I33" s="187"/>
      <c r="J33" s="219"/>
      <c r="K33" s="226"/>
      <c r="L33" s="226"/>
      <c r="M33" s="226"/>
      <c r="N33" s="93"/>
      <c r="O33" s="227"/>
      <c r="P33" s="228"/>
      <c r="Q33" s="229"/>
      <c r="R33" s="230"/>
      <c r="S33" s="231"/>
      <c r="T33" s="228"/>
      <c r="U33" s="219"/>
      <c r="V33" s="93"/>
      <c r="W33" s="94"/>
      <c r="X33" s="219"/>
      <c r="Y33" s="93"/>
      <c r="Z33" s="94"/>
      <c r="AA33" s="232"/>
      <c r="AB33" s="97"/>
      <c r="AC33" s="97"/>
      <c r="AD33" s="97"/>
      <c r="AE33" s="71"/>
      <c r="AF33" s="85"/>
      <c r="AG33" s="85"/>
      <c r="AH33" s="131">
        <f aca="false">+AE33-AF33</f>
      </c>
      <c r="AI33" s="131"/>
      <c r="AJ33" s="85"/>
      <c r="AK33" s="131"/>
      <c r="AL33" s="98"/>
      <c r="AM33" s="98"/>
      <c r="AN33" s="98"/>
      <c r="AO33" s="98"/>
      <c r="AP33" s="85"/>
      <c r="AQ33" s="85"/>
    </row>
    <row r="34" customFormat="false" ht="24" hidden="false" customHeight="true" outlineLevel="0" collapsed="false">
      <c r="A34" s="12"/>
      <c r="B34" s="38" t="s">
        <v>57</v>
      </c>
      <c r="C34" s="39" t="s">
        <v>49</v>
      </c>
      <c r="D34" s="233">
        <f aca="false">E15</f>
      </c>
      <c r="E34" s="234"/>
      <c r="F34" s="235">
        <f aca="false">D34*E34</f>
      </c>
      <c r="G34" s="41"/>
      <c r="H34" s="166"/>
      <c r="I34" s="187"/>
      <c r="J34" s="74"/>
      <c r="K34" s="75"/>
      <c r="L34" s="75"/>
      <c r="M34" s="75"/>
      <c r="N34" s="77"/>
      <c r="O34" s="236"/>
      <c r="P34" s="237">
        <f aca="false">J34+N34</f>
      </c>
      <c r="Q34" s="238"/>
      <c r="R34" s="208"/>
      <c r="S34" s="209"/>
      <c r="T34" s="237">
        <f aca="false">R34+S34</f>
      </c>
      <c r="U34" s="74"/>
      <c r="V34" s="77"/>
      <c r="W34" s="78">
        <f aca="false">+U34+V34</f>
      </c>
      <c r="X34" s="74"/>
      <c r="Y34" s="77"/>
      <c r="Z34" s="78"/>
      <c r="AA34" s="220">
        <f aca="false">+SUM(P34,T34,W34,X34,Y34,Z34)</f>
      </c>
      <c r="AB34" s="97"/>
      <c r="AC34" s="97"/>
      <c r="AD34" s="97"/>
      <c r="AE34" s="71"/>
      <c r="AF34" s="239"/>
      <c r="AG34" s="239"/>
      <c r="AH34" s="85"/>
      <c r="AI34" s="131"/>
      <c r="AJ34" s="85"/>
      <c r="AK34" s="131"/>
      <c r="AL34" s="85"/>
      <c r="AM34" s="85"/>
      <c r="AN34" s="85"/>
      <c r="AO34" s="85"/>
      <c r="AP34" s="85"/>
      <c r="AQ34" s="85"/>
    </row>
    <row r="35" customFormat="false" ht="24" hidden="false" customHeight="true" outlineLevel="0" collapsed="false">
      <c r="A35" s="12"/>
      <c r="B35" s="51"/>
      <c r="C35" s="240"/>
      <c r="D35" s="241"/>
      <c r="E35" s="242"/>
      <c r="F35" s="243"/>
      <c r="G35" s="244"/>
      <c r="H35" s="166"/>
      <c r="I35" s="187"/>
      <c r="J35" s="245"/>
      <c r="K35" s="245"/>
      <c r="L35" s="245"/>
      <c r="M35" s="245"/>
      <c r="N35" s="77"/>
      <c r="O35" s="236"/>
      <c r="P35" s="237">
        <f aca="false">J35+N35</f>
      </c>
      <c r="Q35" s="238"/>
      <c r="R35" s="208"/>
      <c r="S35" s="209"/>
      <c r="T35" s="237">
        <f aca="false">R35+S35</f>
      </c>
      <c r="U35" s="246"/>
      <c r="V35" s="77"/>
      <c r="W35" s="78">
        <f aca="false">+U35+V35</f>
      </c>
      <c r="X35" s="74"/>
      <c r="Y35" s="77"/>
      <c r="Z35" s="247"/>
      <c r="AA35" s="220">
        <f aca="false">+SUM(P35,T35,W35,X35,Y35,Z35)</f>
      </c>
      <c r="AB35" s="97"/>
      <c r="AC35" s="97"/>
      <c r="AD35" s="97"/>
      <c r="AE35" s="71"/>
      <c r="AF35" s="239"/>
      <c r="AG35" s="239"/>
      <c r="AH35" s="85"/>
      <c r="AI35" s="131"/>
      <c r="AJ35" s="85"/>
      <c r="AK35" s="131">
        <f aca="false">+AI35/AJ35</f>
      </c>
      <c r="AL35" s="85"/>
      <c r="AM35" s="85"/>
      <c r="AN35" s="85"/>
      <c r="AO35" s="85"/>
      <c r="AP35" s="85"/>
      <c r="AQ35" s="85"/>
    </row>
    <row r="36" customFormat="false" ht="24" hidden="false" customHeight="true" outlineLevel="0" collapsed="false">
      <c r="A36" s="12"/>
      <c r="B36" s="248"/>
      <c r="C36" s="100" t="s">
        <v>55</v>
      </c>
      <c r="D36" s="249">
        <f aca="false">+D34</f>
      </c>
      <c r="E36" s="250">
        <f aca="false">+E34</f>
      </c>
      <c r="F36" s="251">
        <f aca="false">D36*E36</f>
      </c>
      <c r="G36" s="252"/>
      <c r="H36" s="16"/>
      <c r="I36" s="172" t="s">
        <v>58</v>
      </c>
      <c r="J36" s="177">
        <f aca="false">SUM(J30:J35)</f>
      </c>
      <c r="K36" s="177">
        <f aca="false">+J36*0.3025</f>
      </c>
      <c r="L36" s="177">
        <f aca="false">SUM(L30:L35)</f>
      </c>
      <c r="M36" s="177">
        <f aca="false">SUM(M30:M35)</f>
      </c>
      <c r="N36" s="177">
        <f aca="false">SUM(N30:N35)</f>
      </c>
      <c r="O36" s="253">
        <f aca="false">+N36*0.3025</f>
      </c>
      <c r="P36" s="178">
        <f aca="false">SUM(P30:P35)</f>
      </c>
      <c r="Q36" s="179">
        <f aca="false">+P36*0.3025</f>
      </c>
      <c r="R36" s="254">
        <f aca="false">SUM(R30:R35)</f>
      </c>
      <c r="S36" s="255">
        <f aca="false">SUM(S30:S35)</f>
      </c>
      <c r="T36" s="256">
        <f aca="false">SUM(T30:T35)</f>
      </c>
      <c r="U36" s="173">
        <f aca="false">SUM(U30:U35)</f>
      </c>
      <c r="V36" s="177">
        <f aca="false">SUM(V30:V35)</f>
      </c>
      <c r="W36" s="178">
        <f aca="false">SUM(W30:W35)</f>
      </c>
      <c r="X36" s="173">
        <f aca="false">SUM(X30:X35)</f>
      </c>
      <c r="Y36" s="177">
        <f aca="false">SUM(Y30:Y35)</f>
      </c>
      <c r="Z36" s="178">
        <f aca="false">SUM(Z30:Z35)</f>
      </c>
      <c r="AA36" s="179">
        <f aca="false">+SUM(P36,T36,W36,X36,Y36,Z36)</f>
      </c>
      <c r="AB36" s="170"/>
      <c r="AC36" s="170"/>
      <c r="AD36" s="170"/>
      <c r="AE36" s="180"/>
      <c r="AF36" s="85"/>
      <c r="AG36" s="85"/>
      <c r="AH36" s="85"/>
      <c r="AI36" s="131"/>
      <c r="AJ36" s="85"/>
      <c r="AK36" s="131">
        <f aca="false">+AI36/AJ36</f>
      </c>
      <c r="AL36" s="257"/>
      <c r="AM36" s="257"/>
      <c r="AN36" s="257"/>
      <c r="AO36" s="257"/>
      <c r="AP36" s="258"/>
      <c r="AQ36" s="85"/>
    </row>
    <row r="37" customFormat="false" ht="24" hidden="false" customHeight="true" outlineLevel="0" collapsed="false">
      <c r="A37" s="12"/>
      <c r="B37" s="259" t="s">
        <v>59</v>
      </c>
      <c r="C37" s="100" t="s">
        <v>49</v>
      </c>
      <c r="D37" s="249"/>
      <c r="E37" s="242"/>
      <c r="F37" s="260"/>
      <c r="G37" s="244"/>
      <c r="H37" s="16"/>
      <c r="I37" s="38" t="s">
        <v>19</v>
      </c>
      <c r="J37" s="261">
        <f aca="false">J29+J36</f>
      </c>
      <c r="K37" s="262">
        <f aca="false">+J37*0.3025</f>
      </c>
      <c r="L37" s="261">
        <f aca="false">L29+L36</f>
      </c>
      <c r="M37" s="262">
        <f aca="false">+L37*0.3025</f>
      </c>
      <c r="N37" s="263">
        <f aca="false">N29+N36</f>
      </c>
      <c r="O37" s="264">
        <f aca="false">+N37*0.3025</f>
      </c>
      <c r="P37" s="265">
        <f aca="false">P29+P36</f>
      </c>
      <c r="Q37" s="266">
        <f aca="false">+P37*0.3025</f>
      </c>
      <c r="R37" s="267">
        <f aca="false">R29+R36</f>
      </c>
      <c r="S37" s="268">
        <f aca="false">S29+S36</f>
      </c>
      <c r="T37" s="269">
        <f aca="false">T29+T36</f>
      </c>
      <c r="U37" s="261">
        <f aca="false">U29+U36</f>
      </c>
      <c r="V37" s="263">
        <f aca="false">V29+V36</f>
      </c>
      <c r="W37" s="263">
        <f aca="false">W29+W36</f>
      </c>
      <c r="X37" s="261">
        <f aca="false">X29+X36</f>
      </c>
      <c r="Y37" s="263">
        <f aca="false">Y29+Y36</f>
      </c>
      <c r="Z37" s="265">
        <f aca="false">Z29+Z36</f>
      </c>
      <c r="AA37" s="266">
        <f aca="false">+SUM(P37,T37,W37,X37,Y37,Z37)</f>
      </c>
      <c r="AB37" s="270"/>
      <c r="AC37" s="270"/>
      <c r="AD37" s="270"/>
      <c r="AE37" s="180"/>
      <c r="AF37" s="271"/>
      <c r="AG37" s="271"/>
      <c r="AH37" s="271"/>
      <c r="AI37" s="131">
        <f aca="false">+AH36+AK36+AK35</f>
      </c>
      <c r="AJ37" s="271"/>
      <c r="AK37" s="131"/>
      <c r="AL37" s="98"/>
      <c r="AM37" s="98"/>
      <c r="AN37" s="98"/>
      <c r="AO37" s="98"/>
      <c r="AP37" s="85"/>
      <c r="AQ37" s="85"/>
    </row>
    <row r="38" customFormat="false" ht="24" hidden="false" customHeight="true" outlineLevel="0" collapsed="false">
      <c r="A38" s="12"/>
      <c r="B38" s="272"/>
      <c r="C38" s="273" t="s">
        <v>55</v>
      </c>
      <c r="D38" s="274"/>
      <c r="E38" s="275"/>
      <c r="F38" s="276"/>
      <c r="G38" s="277"/>
      <c r="H38" s="16"/>
      <c r="I38" s="272"/>
      <c r="J38" s="278">
        <f aca="false">J37*0.3025</f>
      </c>
      <c r="K38" s="279"/>
      <c r="L38" s="278">
        <f aca="false">L37*0.3025</f>
      </c>
      <c r="M38" s="279"/>
      <c r="N38" s="280">
        <f aca="false">N37*0.3025</f>
      </c>
      <c r="O38" s="281"/>
      <c r="P38" s="282">
        <f aca="false">P37*0.3025</f>
      </c>
      <c r="Q38" s="283"/>
      <c r="R38" s="284">
        <f aca="false">R37*0.3025</f>
      </c>
      <c r="S38" s="285">
        <f aca="false">S37*0.3025</f>
      </c>
      <c r="T38" s="286">
        <f aca="false">T37*0.3025</f>
      </c>
      <c r="U38" s="278">
        <f aca="false">U37*0.3025</f>
      </c>
      <c r="V38" s="280">
        <f aca="false">V37*0.3025</f>
      </c>
      <c r="W38" s="280">
        <f aca="false">W37*0.3025</f>
      </c>
      <c r="X38" s="278">
        <f aca="false">X37*0.3025</f>
      </c>
      <c r="Y38" s="280">
        <f aca="false">Y37*0.3025</f>
      </c>
      <c r="Z38" s="282">
        <f aca="false">Z37*0.3025</f>
      </c>
      <c r="AA38" s="287">
        <f aca="false">AA37*0.3025</f>
      </c>
      <c r="AB38" s="270"/>
      <c r="AC38" s="270"/>
      <c r="AD38" s="270"/>
      <c r="AE38" s="180"/>
      <c r="AF38" s="102"/>
      <c r="AG38" s="102"/>
      <c r="AH38" s="102"/>
      <c r="AI38" s="103"/>
      <c r="AJ38" s="102"/>
      <c r="AK38" s="103"/>
      <c r="AL38" s="98"/>
      <c r="AM38" s="98"/>
      <c r="AN38" s="98"/>
      <c r="AO38" s="98"/>
      <c r="AP38" s="85"/>
      <c r="AQ38" s="85"/>
    </row>
    <row r="39" customFormat="false" ht="24" hidden="false" customHeight="true" outlineLevel="0" collapsed="false">
      <c r="A39" s="12"/>
      <c r="B39" s="288"/>
      <c r="C39" s="288"/>
      <c r="D39" s="288"/>
      <c r="E39" s="288"/>
      <c r="F39" s="288"/>
      <c r="G39" s="288"/>
      <c r="H39" s="288"/>
      <c r="I39" s="13"/>
      <c r="J39" s="289"/>
      <c r="K39" s="289"/>
      <c r="L39" s="289"/>
      <c r="M39" s="289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7"/>
      <c r="AG39" s="7"/>
      <c r="AH39" s="7"/>
      <c r="AI39" s="9"/>
      <c r="AJ39" s="7"/>
      <c r="AK39" s="9"/>
      <c r="AL39" s="85"/>
      <c r="AM39" s="85"/>
      <c r="AN39" s="85"/>
      <c r="AO39" s="85"/>
      <c r="AP39" s="85"/>
      <c r="AQ39" s="85"/>
    </row>
    <row r="40" customFormat="false" ht="24" hidden="true" customHeight="true" outlineLevel="0" collapsed="false">
      <c r="A40" s="12"/>
      <c r="B40" s="290" t="s">
        <v>60</v>
      </c>
      <c r="C40" s="291"/>
      <c r="D40" s="291"/>
      <c r="E40" s="291"/>
      <c r="F40" s="292"/>
      <c r="G40" s="291"/>
      <c r="H40" s="291"/>
      <c r="I40" s="293"/>
      <c r="J40" s="294"/>
      <c r="K40" s="294"/>
      <c r="L40" s="294"/>
      <c r="M40" s="294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5" t="s">
        <v>61</v>
      </c>
      <c r="AB40" s="16"/>
      <c r="AC40" s="16"/>
      <c r="AD40" s="16"/>
      <c r="AE40" s="16"/>
      <c r="AF40" s="85"/>
      <c r="AG40" s="85"/>
      <c r="AH40" s="85"/>
      <c r="AI40" s="131"/>
      <c r="AJ40" s="85"/>
      <c r="AK40" s="131"/>
      <c r="AL40" s="85"/>
      <c r="AM40" s="85"/>
      <c r="AN40" s="85"/>
      <c r="AO40" s="85"/>
      <c r="AP40" s="85"/>
      <c r="AQ40" s="85"/>
    </row>
    <row r="41" customFormat="false" ht="24" hidden="true" customHeight="true" outlineLevel="0" collapsed="false">
      <c r="A41" s="12"/>
      <c r="B41" s="296" t="s">
        <v>62</v>
      </c>
      <c r="C41" s="297" t="s">
        <v>63</v>
      </c>
      <c r="D41" s="297"/>
      <c r="E41" s="298" t="s">
        <v>64</v>
      </c>
      <c r="F41" s="298"/>
      <c r="G41" s="298" t="s">
        <v>65</v>
      </c>
      <c r="H41" s="298"/>
      <c r="I41" s="299" t="s">
        <v>16</v>
      </c>
      <c r="J41" s="299"/>
      <c r="K41" s="300"/>
      <c r="L41" s="300"/>
      <c r="M41" s="300"/>
      <c r="N41" s="296" t="s">
        <v>66</v>
      </c>
      <c r="O41" s="296"/>
      <c r="P41" s="296"/>
      <c r="Q41" s="300"/>
      <c r="R41" s="300"/>
      <c r="S41" s="300"/>
      <c r="T41" s="300"/>
      <c r="U41" s="296" t="s">
        <v>67</v>
      </c>
      <c r="V41" s="296"/>
      <c r="W41" s="300"/>
      <c r="X41" s="296" t="s">
        <v>68</v>
      </c>
      <c r="Y41" s="296"/>
      <c r="Z41" s="297" t="s">
        <v>69</v>
      </c>
      <c r="AA41" s="301" t="s">
        <v>70</v>
      </c>
      <c r="AB41" s="302"/>
      <c r="AC41" s="302"/>
      <c r="AD41" s="302"/>
      <c r="AE41" s="302"/>
      <c r="AF41" s="303"/>
      <c r="AG41" s="303"/>
      <c r="AH41" s="303"/>
      <c r="AI41" s="304"/>
      <c r="AJ41" s="303"/>
      <c r="AK41" s="304"/>
      <c r="AL41" s="85"/>
      <c r="AM41" s="85"/>
      <c r="AN41" s="85"/>
      <c r="AO41" s="85"/>
      <c r="AP41" s="85"/>
      <c r="AQ41" s="85"/>
    </row>
    <row r="42" customFormat="false" ht="24" hidden="true" customHeight="true" outlineLevel="0" collapsed="false">
      <c r="A42" s="305"/>
      <c r="B42" s="306" t="s">
        <v>71</v>
      </c>
      <c r="C42" s="307"/>
      <c r="D42" s="308"/>
      <c r="E42" s="309"/>
      <c r="F42" s="308"/>
      <c r="G42" s="309"/>
      <c r="H42" s="308"/>
      <c r="I42" s="309"/>
      <c r="J42" s="310"/>
      <c r="K42" s="311"/>
      <c r="L42" s="311"/>
      <c r="M42" s="311"/>
      <c r="N42" s="312"/>
      <c r="O42" s="313"/>
      <c r="P42" s="314"/>
      <c r="Q42" s="315"/>
      <c r="R42" s="315"/>
      <c r="S42" s="315"/>
      <c r="T42" s="315"/>
      <c r="U42" s="307"/>
      <c r="V42" s="310"/>
      <c r="W42" s="311"/>
      <c r="X42" s="312"/>
      <c r="Y42" s="314"/>
      <c r="Z42" s="316"/>
      <c r="AA42" s="317"/>
      <c r="AB42" s="302"/>
      <c r="AC42" s="302"/>
      <c r="AD42" s="302"/>
      <c r="AE42" s="302"/>
      <c r="AF42" s="303"/>
      <c r="AG42" s="303"/>
      <c r="AH42" s="303"/>
      <c r="AI42" s="304"/>
      <c r="AJ42" s="303"/>
      <c r="AK42" s="304"/>
      <c r="AL42" s="85"/>
      <c r="AM42" s="85"/>
      <c r="AN42" s="85"/>
      <c r="AO42" s="85"/>
      <c r="AP42" s="85"/>
      <c r="AQ42" s="85"/>
    </row>
    <row r="43" customFormat="false" ht="24" hidden="true" customHeight="true" outlineLevel="0" collapsed="false">
      <c r="A43" s="305"/>
      <c r="B43" s="318" t="s">
        <v>11</v>
      </c>
      <c r="C43" s="319"/>
      <c r="D43" s="320"/>
      <c r="E43" s="321"/>
      <c r="F43" s="320"/>
      <c r="G43" s="321"/>
      <c r="H43" s="320"/>
      <c r="I43" s="321"/>
      <c r="J43" s="322"/>
      <c r="K43" s="323"/>
      <c r="L43" s="323"/>
      <c r="M43" s="323"/>
      <c r="N43" s="324"/>
      <c r="O43" s="325"/>
      <c r="P43" s="326"/>
      <c r="Q43" s="327"/>
      <c r="R43" s="327"/>
      <c r="S43" s="327"/>
      <c r="T43" s="327"/>
      <c r="U43" s="319"/>
      <c r="V43" s="322"/>
      <c r="W43" s="323"/>
      <c r="X43" s="324"/>
      <c r="Y43" s="326"/>
      <c r="Z43" s="328"/>
      <c r="AA43" s="317"/>
      <c r="AB43" s="329"/>
      <c r="AC43" s="329"/>
      <c r="AD43" s="329"/>
      <c r="AE43" s="329"/>
      <c r="AF43" s="330"/>
      <c r="AG43" s="330"/>
      <c r="AH43" s="330"/>
      <c r="AI43" s="331"/>
      <c r="AJ43" s="330"/>
      <c r="AK43" s="331"/>
      <c r="AL43" s="85"/>
      <c r="AM43" s="85"/>
      <c r="AN43" s="85"/>
      <c r="AO43" s="85"/>
      <c r="AP43" s="85"/>
      <c r="AQ43" s="85"/>
    </row>
    <row r="44" customFormat="false" ht="24" hidden="true" customHeight="true" outlineLevel="0" collapsed="false">
      <c r="A44" s="305"/>
      <c r="B44" s="332" t="s">
        <v>72</v>
      </c>
      <c r="C44" s="333">
        <f aca="false">C42+C43</f>
      </c>
      <c r="D44" s="334">
        <f aca="false">C44*0.3025</f>
      </c>
      <c r="E44" s="335">
        <f aca="false">E42+E43</f>
      </c>
      <c r="F44" s="334">
        <f aca="false">E44*0.3025</f>
      </c>
      <c r="G44" s="336">
        <f aca="false">G42+G43</f>
      </c>
      <c r="H44" s="334">
        <f aca="false">G44*0.3025</f>
      </c>
      <c r="I44" s="336">
        <f aca="false">I42+I43</f>
      </c>
      <c r="J44" s="337">
        <f aca="false">I44*0.3025</f>
      </c>
      <c r="K44" s="338"/>
      <c r="L44" s="338"/>
      <c r="M44" s="338"/>
      <c r="N44" s="339">
        <f aca="false">SUM(N42:N43)</f>
      </c>
      <c r="O44" s="340"/>
      <c r="P44" s="337">
        <f aca="false">N44*0.3025</f>
      </c>
      <c r="Q44" s="338"/>
      <c r="R44" s="338"/>
      <c r="S44" s="338"/>
      <c r="T44" s="338"/>
      <c r="U44" s="333"/>
      <c r="V44" s="337">
        <f aca="false">U44*0.3025</f>
      </c>
      <c r="W44" s="338"/>
      <c r="X44" s="333">
        <f aca="false">N44+U44</f>
      </c>
      <c r="Y44" s="337">
        <f aca="false">X44*0.3025</f>
      </c>
      <c r="Z44" s="341">
        <f aca="false">SUM(Z42:Z43)</f>
      </c>
      <c r="AA44" s="342">
        <f aca="false">SUM(AA42:AA43)</f>
      </c>
      <c r="AB44" s="329"/>
      <c r="AC44" s="329"/>
      <c r="AD44" s="329"/>
      <c r="AE44" s="329"/>
      <c r="AF44" s="330"/>
      <c r="AG44" s="330"/>
      <c r="AH44" s="330"/>
      <c r="AI44" s="331"/>
      <c r="AJ44" s="330"/>
      <c r="AK44" s="331"/>
      <c r="AL44" s="85"/>
      <c r="AM44" s="85"/>
      <c r="AN44" s="85"/>
      <c r="AO44" s="85"/>
      <c r="AP44" s="85"/>
      <c r="AQ44" s="85"/>
    </row>
    <row r="45" customFormat="false" ht="24" hidden="true" customHeight="true" outlineLevel="0" collapsed="false">
      <c r="A45" s="5"/>
      <c r="B45" s="343"/>
      <c r="C45" s="344"/>
      <c r="D45" s="302"/>
      <c r="E45" s="302"/>
      <c r="F45" s="329"/>
      <c r="G45" s="302"/>
      <c r="H45" s="288"/>
      <c r="I45" s="13"/>
      <c r="J45" s="343"/>
      <c r="K45" s="343"/>
      <c r="L45" s="343"/>
      <c r="M45" s="343"/>
      <c r="N45" s="343"/>
      <c r="O45" s="343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345"/>
      <c r="AA45" s="343"/>
      <c r="AB45" s="346"/>
      <c r="AC45" s="346"/>
      <c r="AD45" s="346"/>
      <c r="AE45" s="346"/>
      <c r="AF45" s="331"/>
      <c r="AG45" s="331"/>
      <c r="AH45" s="331"/>
      <c r="AI45" s="331"/>
      <c r="AJ45" s="331"/>
      <c r="AK45" s="331"/>
      <c r="AL45" s="85"/>
      <c r="AM45" s="85"/>
      <c r="AN45" s="85"/>
      <c r="AO45" s="85"/>
      <c r="AP45" s="85"/>
      <c r="AQ45" s="85"/>
    </row>
    <row r="46" customFormat="false" ht="24" hidden="true" customHeight="true" outlineLevel="0" collapsed="false">
      <c r="A46" s="5"/>
      <c r="B46" s="347" t="s">
        <v>73</v>
      </c>
      <c r="C46" s="347"/>
      <c r="D46" s="347"/>
      <c r="E46" s="347"/>
      <c r="F46" s="347"/>
      <c r="G46" s="302"/>
      <c r="H46" s="288"/>
      <c r="I46" s="13"/>
      <c r="J46" s="343"/>
      <c r="K46" s="343"/>
      <c r="L46" s="343"/>
      <c r="M46" s="343"/>
      <c r="N46" s="343"/>
      <c r="O46" s="343"/>
      <c r="P46" s="302"/>
      <c r="Q46" s="302"/>
      <c r="R46" s="302"/>
      <c r="S46" s="302"/>
      <c r="T46" s="302"/>
      <c r="U46" s="329"/>
      <c r="V46" s="302"/>
      <c r="W46" s="302"/>
      <c r="X46" s="329"/>
      <c r="Y46" s="302"/>
      <c r="Z46" s="329"/>
      <c r="AA46" s="295"/>
      <c r="AB46" s="329"/>
      <c r="AC46" s="329"/>
      <c r="AD46" s="295" t="s">
        <v>61</v>
      </c>
      <c r="AE46" s="348"/>
      <c r="AF46" s="116"/>
      <c r="AG46" s="116"/>
      <c r="AH46" s="116"/>
      <c r="AI46" s="117"/>
      <c r="AJ46" s="116"/>
      <c r="AK46" s="117"/>
      <c r="AL46" s="85"/>
      <c r="AM46" s="85"/>
      <c r="AN46" s="85"/>
      <c r="AO46" s="85"/>
      <c r="AP46" s="85"/>
      <c r="AQ46" s="85"/>
    </row>
    <row r="47" s="366" customFormat="true" ht="24" hidden="true" customHeight="true" outlineLevel="0" collapsed="false">
      <c r="A47" s="349"/>
      <c r="B47" s="296" t="s">
        <v>62</v>
      </c>
      <c r="C47" s="350" t="s">
        <v>74</v>
      </c>
      <c r="D47" s="301" t="s">
        <v>63</v>
      </c>
      <c r="E47" s="299" t="s">
        <v>75</v>
      </c>
      <c r="F47" s="351" t="s">
        <v>76</v>
      </c>
      <c r="G47" s="351"/>
      <c r="H47" s="352" t="s">
        <v>77</v>
      </c>
      <c r="I47" s="352"/>
      <c r="J47" s="353" t="s">
        <v>78</v>
      </c>
      <c r="K47" s="353"/>
      <c r="L47" s="353"/>
      <c r="M47" s="353"/>
      <c r="N47" s="353"/>
      <c r="O47" s="353"/>
      <c r="P47" s="354" t="s">
        <v>79</v>
      </c>
      <c r="Q47" s="354"/>
      <c r="R47" s="355"/>
      <c r="S47" s="355"/>
      <c r="T47" s="355"/>
      <c r="U47" s="355"/>
      <c r="V47" s="356"/>
      <c r="W47" s="357"/>
      <c r="X47" s="358"/>
      <c r="Y47" s="296" t="s">
        <v>68</v>
      </c>
      <c r="Z47" s="296"/>
      <c r="AA47" s="359" t="s">
        <v>79</v>
      </c>
      <c r="AB47" s="360" t="s">
        <v>80</v>
      </c>
      <c r="AC47" s="360"/>
      <c r="AD47" s="361" t="s">
        <v>81</v>
      </c>
      <c r="AE47" s="362"/>
      <c r="AF47" s="363"/>
      <c r="AG47" s="363"/>
      <c r="AH47" s="363"/>
      <c r="AI47" s="364"/>
      <c r="AJ47" s="363"/>
      <c r="AK47" s="364"/>
      <c r="AL47" s="365"/>
      <c r="AM47" s="365"/>
      <c r="AN47" s="365"/>
      <c r="AO47" s="365"/>
      <c r="AP47" s="365"/>
      <c r="AQ47" s="365"/>
    </row>
    <row r="48" s="366" customFormat="true" ht="24" hidden="true" customHeight="true" outlineLevel="0" collapsed="false">
      <c r="A48" s="349"/>
      <c r="B48" s="296"/>
      <c r="C48" s="350"/>
      <c r="D48" s="301"/>
      <c r="E48" s="299"/>
      <c r="F48" s="367" t="s">
        <v>82</v>
      </c>
      <c r="G48" s="367"/>
      <c r="H48" s="352"/>
      <c r="I48" s="352"/>
      <c r="J48" s="368" t="s">
        <v>83</v>
      </c>
      <c r="K48" s="368"/>
      <c r="L48" s="368"/>
      <c r="M48" s="368"/>
      <c r="N48" s="368"/>
      <c r="O48" s="368"/>
      <c r="P48" s="369" t="s">
        <v>84</v>
      </c>
      <c r="Q48" s="369"/>
      <c r="R48" s="370"/>
      <c r="S48" s="368" t="s">
        <v>17</v>
      </c>
      <c r="T48" s="368"/>
      <c r="U48" s="368" t="s">
        <v>85</v>
      </c>
      <c r="V48" s="368"/>
      <c r="W48" s="371"/>
      <c r="X48" s="372"/>
      <c r="Y48" s="296"/>
      <c r="Z48" s="296"/>
      <c r="AA48" s="359"/>
      <c r="AB48" s="360"/>
      <c r="AC48" s="360"/>
      <c r="AD48" s="361"/>
      <c r="AE48" s="373"/>
      <c r="AF48" s="116"/>
      <c r="AG48" s="116"/>
      <c r="AH48" s="116"/>
      <c r="AI48" s="117"/>
      <c r="AJ48" s="330"/>
      <c r="AK48" s="331"/>
      <c r="AL48" s="374" t="s">
        <v>14</v>
      </c>
      <c r="AM48" s="374"/>
      <c r="AN48" s="374"/>
      <c r="AO48" s="374"/>
      <c r="AP48" s="365"/>
      <c r="AQ48" s="365"/>
    </row>
    <row r="49" s="366" customFormat="true" ht="24" hidden="true" customHeight="true" outlineLevel="0" collapsed="false">
      <c r="A49" s="374"/>
      <c r="B49" s="375" t="s">
        <v>86</v>
      </c>
      <c r="C49" s="376"/>
      <c r="D49" s="377"/>
      <c r="E49" s="378">
        <f aca="false">C49/$C$59</f>
      </c>
      <c r="F49" s="379"/>
      <c r="G49" s="380">
        <f aca="false">F49*0.3025</f>
      </c>
      <c r="H49" s="381">
        <f aca="false">+D49+F49</f>
      </c>
      <c r="I49" s="382">
        <f aca="false">H49*0.3025</f>
      </c>
      <c r="J49" s="383"/>
      <c r="K49" s="383"/>
      <c r="L49" s="383"/>
      <c r="M49" s="383"/>
      <c r="N49" s="383"/>
      <c r="O49" s="383"/>
      <c r="P49" s="384"/>
      <c r="Q49" s="382">
        <f aca="false">P49*0.3025</f>
      </c>
      <c r="R49" s="382">
        <f aca="false">P49*0.3025</f>
      </c>
      <c r="S49" s="384">
        <f aca="false">ROUND(D49/$D$59*$S$59,2)</f>
      </c>
      <c r="T49" s="382">
        <f aca="false">S49*0.3025</f>
      </c>
      <c r="U49" s="385">
        <f aca="false">J49+P49+S49</f>
      </c>
      <c r="V49" s="382">
        <f aca="false">U49*0.3025</f>
      </c>
      <c r="W49" s="386"/>
      <c r="X49" s="382"/>
      <c r="Y49" s="387">
        <f aca="false">H49+U49</f>
      </c>
      <c r="Z49" s="388">
        <f aca="false">Y49*0.3025</f>
      </c>
      <c r="AA49" s="389">
        <f aca="false">+AL49</f>
      </c>
      <c r="AB49" s="390">
        <f aca="false">+H49+P49</f>
      </c>
      <c r="AC49" s="380">
        <f aca="false">AB49*0.3025</f>
      </c>
      <c r="AD49" s="391"/>
      <c r="AE49" s="392"/>
      <c r="AF49" s="363"/>
      <c r="AG49" s="363"/>
      <c r="AH49" s="363"/>
      <c r="AI49" s="364"/>
      <c r="AJ49" s="363"/>
      <c r="AK49" s="364"/>
      <c r="AL49" s="365">
        <f aca="false">SUM(AF49:AK49)</f>
      </c>
      <c r="AM49" s="365"/>
      <c r="AN49" s="365"/>
      <c r="AO49" s="365"/>
      <c r="AP49" s="365"/>
      <c r="AQ49" s="365"/>
    </row>
    <row r="50" s="366" customFormat="true" ht="24" hidden="true" customHeight="true" outlineLevel="0" collapsed="false">
      <c r="A50" s="374"/>
      <c r="B50" s="375" t="s">
        <v>87</v>
      </c>
      <c r="C50" s="376"/>
      <c r="D50" s="377"/>
      <c r="E50" s="378">
        <f aca="false">C50/$C$59</f>
      </c>
      <c r="F50" s="379"/>
      <c r="G50" s="380">
        <f aca="false">F50*0.3025</f>
      </c>
      <c r="H50" s="381">
        <f aca="false">+D50+F50</f>
      </c>
      <c r="I50" s="382">
        <f aca="false">H50*0.3025</f>
      </c>
      <c r="J50" s="383"/>
      <c r="K50" s="383"/>
      <c r="L50" s="383"/>
      <c r="M50" s="383"/>
      <c r="N50" s="383"/>
      <c r="O50" s="383"/>
      <c r="P50" s="384"/>
      <c r="Q50" s="382">
        <f aca="false">P50*0.3025</f>
      </c>
      <c r="R50" s="382">
        <f aca="false">P50*0.3025</f>
      </c>
      <c r="S50" s="384">
        <f aca="false">ROUND(D50/$D$59*$S$59,2)</f>
      </c>
      <c r="T50" s="382">
        <f aca="false">S50*0.3025</f>
      </c>
      <c r="U50" s="385">
        <f aca="false">J50+P50+S50</f>
      </c>
      <c r="V50" s="382">
        <f aca="false">U50*0.3025</f>
      </c>
      <c r="W50" s="393"/>
      <c r="X50" s="382"/>
      <c r="Y50" s="387">
        <f aca="false">H50+U50</f>
      </c>
      <c r="Z50" s="388">
        <f aca="false">Y50*0.3025</f>
      </c>
      <c r="AA50" s="394"/>
      <c r="AB50" s="390">
        <f aca="false">+H50+P50</f>
      </c>
      <c r="AC50" s="380">
        <f aca="false">AB50*0.3025</f>
      </c>
      <c r="AD50" s="391"/>
      <c r="AE50" s="395"/>
      <c r="AF50" s="330"/>
      <c r="AG50" s="330"/>
      <c r="AH50" s="363"/>
      <c r="AI50" s="364"/>
      <c r="AJ50" s="363"/>
      <c r="AK50" s="364"/>
      <c r="AL50" s="396">
        <f aca="false">SUM(AH50:AK50)</f>
      </c>
      <c r="AM50" s="365"/>
      <c r="AN50" s="365"/>
      <c r="AO50" s="365"/>
      <c r="AP50" s="365"/>
      <c r="AQ50" s="365"/>
    </row>
    <row r="51" s="366" customFormat="true" ht="24" hidden="true" customHeight="true" outlineLevel="0" collapsed="false">
      <c r="A51" s="374"/>
      <c r="B51" s="375" t="s">
        <v>88</v>
      </c>
      <c r="C51" s="376"/>
      <c r="D51" s="377"/>
      <c r="E51" s="378">
        <f aca="false">C51/$C$59</f>
      </c>
      <c r="F51" s="379"/>
      <c r="G51" s="380">
        <f aca="false">F51*0.3025</f>
      </c>
      <c r="H51" s="381">
        <f aca="false">+D51+F51</f>
      </c>
      <c r="I51" s="382">
        <f aca="false">H51*0.3025</f>
      </c>
      <c r="J51" s="383"/>
      <c r="K51" s="383"/>
      <c r="L51" s="383"/>
      <c r="M51" s="383"/>
      <c r="N51" s="383"/>
      <c r="O51" s="383"/>
      <c r="P51" s="384"/>
      <c r="Q51" s="382">
        <f aca="false">P51*0.3025</f>
      </c>
      <c r="R51" s="382">
        <f aca="false">P51*0.3025</f>
      </c>
      <c r="S51" s="384">
        <f aca="false">ROUND(D51/$D$59*$S$59,2)</f>
      </c>
      <c r="T51" s="382">
        <f aca="false">S51*0.3025</f>
      </c>
      <c r="U51" s="385">
        <f aca="false">J51+P51+S51</f>
      </c>
      <c r="V51" s="382">
        <f aca="false">U51*0.3025</f>
      </c>
      <c r="W51" s="397"/>
      <c r="X51" s="398"/>
      <c r="Y51" s="387">
        <f aca="false">H51+U51</f>
      </c>
      <c r="Z51" s="388">
        <f aca="false">Y51*0.3025</f>
      </c>
      <c r="AA51" s="394"/>
      <c r="AB51" s="390">
        <f aca="false">+H51+P51</f>
      </c>
      <c r="AC51" s="380">
        <f aca="false">AB51*0.3025</f>
      </c>
      <c r="AD51" s="391"/>
      <c r="AE51" s="399"/>
      <c r="AF51" s="330"/>
      <c r="AG51" s="330"/>
      <c r="AH51" s="363"/>
      <c r="AI51" s="364"/>
      <c r="AJ51" s="363"/>
      <c r="AK51" s="364"/>
      <c r="AL51" s="396">
        <f aca="false">SUM(AH51:AK51)</f>
      </c>
      <c r="AM51" s="365"/>
      <c r="AN51" s="365"/>
      <c r="AO51" s="365"/>
      <c r="AP51" s="365"/>
      <c r="AQ51" s="365"/>
    </row>
    <row r="52" s="366" customFormat="true" ht="24" hidden="true" customHeight="true" outlineLevel="0" collapsed="false">
      <c r="A52" s="374"/>
      <c r="B52" s="375" t="s">
        <v>89</v>
      </c>
      <c r="C52" s="376"/>
      <c r="D52" s="377"/>
      <c r="E52" s="378">
        <f aca="false">C52/$C$59</f>
      </c>
      <c r="F52" s="379"/>
      <c r="G52" s="380">
        <f aca="false">F52*0.3025</f>
      </c>
      <c r="H52" s="381">
        <f aca="false">+D52+F52</f>
      </c>
      <c r="I52" s="382">
        <f aca="false">H52*0.3025</f>
      </c>
      <c r="J52" s="383"/>
      <c r="K52" s="383"/>
      <c r="L52" s="383"/>
      <c r="M52" s="383"/>
      <c r="N52" s="383"/>
      <c r="O52" s="383"/>
      <c r="P52" s="384"/>
      <c r="Q52" s="382">
        <f aca="false">P52*0.3025</f>
      </c>
      <c r="R52" s="382"/>
      <c r="S52" s="384"/>
      <c r="T52" s="382"/>
      <c r="U52" s="385"/>
      <c r="V52" s="382"/>
      <c r="W52" s="397"/>
      <c r="X52" s="398"/>
      <c r="Y52" s="387"/>
      <c r="Z52" s="388"/>
      <c r="AA52" s="389"/>
      <c r="AB52" s="390">
        <f aca="false">+H52+P52</f>
      </c>
      <c r="AC52" s="380">
        <f aca="false">AB52*0.3025</f>
      </c>
      <c r="AD52" s="400"/>
      <c r="AE52" s="399"/>
      <c r="AF52" s="330"/>
      <c r="AG52" s="330"/>
      <c r="AH52" s="330"/>
      <c r="AI52" s="331"/>
      <c r="AJ52" s="330"/>
      <c r="AK52" s="331"/>
      <c r="AL52" s="365"/>
      <c r="AM52" s="365"/>
      <c r="AN52" s="365"/>
      <c r="AO52" s="365"/>
      <c r="AP52" s="365"/>
      <c r="AQ52" s="365"/>
    </row>
    <row r="53" s="366" customFormat="true" ht="24" hidden="true" customHeight="true" outlineLevel="0" collapsed="false">
      <c r="A53" s="374"/>
      <c r="B53" s="375"/>
      <c r="C53" s="376"/>
      <c r="D53" s="377"/>
      <c r="E53" s="378"/>
      <c r="F53" s="379"/>
      <c r="G53" s="380"/>
      <c r="H53" s="381"/>
      <c r="I53" s="382"/>
      <c r="J53" s="383"/>
      <c r="K53" s="383"/>
      <c r="L53" s="383"/>
      <c r="M53" s="383"/>
      <c r="N53" s="383"/>
      <c r="O53" s="383"/>
      <c r="P53" s="384"/>
      <c r="Q53" s="401"/>
      <c r="R53" s="382"/>
      <c r="S53" s="384"/>
      <c r="T53" s="382"/>
      <c r="U53" s="385"/>
      <c r="V53" s="382"/>
      <c r="W53" s="397"/>
      <c r="X53" s="398"/>
      <c r="Y53" s="387"/>
      <c r="Z53" s="388"/>
      <c r="AA53" s="394"/>
      <c r="AB53" s="390"/>
      <c r="AC53" s="380"/>
      <c r="AD53" s="400"/>
      <c r="AE53" s="399"/>
      <c r="AF53" s="330"/>
      <c r="AG53" s="330"/>
      <c r="AH53" s="330"/>
      <c r="AI53" s="331"/>
      <c r="AJ53" s="330"/>
      <c r="AK53" s="331"/>
      <c r="AL53" s="365"/>
      <c r="AM53" s="365"/>
      <c r="AN53" s="365"/>
      <c r="AO53" s="365"/>
      <c r="AP53" s="365"/>
      <c r="AQ53" s="365"/>
    </row>
    <row r="54" s="366" customFormat="true" ht="24" hidden="true" customHeight="true" outlineLevel="0" collapsed="false">
      <c r="A54" s="374"/>
      <c r="B54" s="375"/>
      <c r="C54" s="376"/>
      <c r="D54" s="377"/>
      <c r="E54" s="378"/>
      <c r="F54" s="379"/>
      <c r="G54" s="380"/>
      <c r="H54" s="381"/>
      <c r="I54" s="382"/>
      <c r="J54" s="383"/>
      <c r="K54" s="383"/>
      <c r="L54" s="383"/>
      <c r="M54" s="383"/>
      <c r="N54" s="383"/>
      <c r="O54" s="383"/>
      <c r="P54" s="384"/>
      <c r="Q54" s="401"/>
      <c r="R54" s="382"/>
      <c r="S54" s="384"/>
      <c r="T54" s="382"/>
      <c r="U54" s="385"/>
      <c r="V54" s="382"/>
      <c r="W54" s="397"/>
      <c r="X54" s="398"/>
      <c r="Y54" s="387"/>
      <c r="Z54" s="388"/>
      <c r="AA54" s="394"/>
      <c r="AB54" s="390"/>
      <c r="AC54" s="380"/>
      <c r="AD54" s="400"/>
      <c r="AE54" s="399"/>
      <c r="AF54" s="330"/>
      <c r="AG54" s="330"/>
      <c r="AH54" s="330"/>
      <c r="AI54" s="331"/>
      <c r="AJ54" s="330"/>
      <c r="AK54" s="331"/>
      <c r="AL54" s="365"/>
      <c r="AM54" s="365"/>
      <c r="AN54" s="365"/>
      <c r="AO54" s="365"/>
      <c r="AP54" s="365"/>
      <c r="AQ54" s="365"/>
    </row>
    <row r="55" s="366" customFormat="true" ht="24" hidden="true" customHeight="true" outlineLevel="0" collapsed="false">
      <c r="A55" s="374"/>
      <c r="B55" s="375"/>
      <c r="C55" s="376"/>
      <c r="D55" s="377"/>
      <c r="E55" s="398">
        <f aca="false">C55/$C$59</f>
      </c>
      <c r="F55" s="402">
        <f aca="false">ROUND(D55/$D$59*($N$29+$S$29)+D55*0.02,2)</f>
      </c>
      <c r="G55" s="403">
        <f aca="false">F55*0.3025</f>
      </c>
      <c r="H55" s="404">
        <f aca="false">+D55+F55</f>
      </c>
      <c r="I55" s="398">
        <f aca="false">H55*0.3025</f>
      </c>
      <c r="J55" s="383"/>
      <c r="K55" s="383"/>
      <c r="L55" s="383"/>
      <c r="M55" s="383"/>
      <c r="N55" s="383"/>
      <c r="O55" s="383"/>
      <c r="P55" s="402"/>
      <c r="Q55" s="397"/>
      <c r="R55" s="398">
        <f aca="false">P55*0.3025</f>
      </c>
      <c r="S55" s="402">
        <f aca="false">ROUND(D55/$D$59*$S$59,2)</f>
      </c>
      <c r="T55" s="398">
        <f aca="false">S55*0.3025</f>
      </c>
      <c r="U55" s="405">
        <f aca="false">J55+P55+S55</f>
      </c>
      <c r="V55" s="398">
        <f aca="false">U55*0.3025</f>
      </c>
      <c r="W55" s="397"/>
      <c r="X55" s="398"/>
      <c r="Y55" s="406">
        <f aca="false">H55+U55</f>
      </c>
      <c r="Z55" s="256">
        <f aca="false">Y55*0.3025</f>
      </c>
      <c r="AA55" s="389"/>
      <c r="AB55" s="407">
        <f aca="false">+D55+AA55</f>
      </c>
      <c r="AC55" s="403">
        <f aca="false">AB55*0.3025</f>
      </c>
      <c r="AD55" s="400"/>
      <c r="AE55" s="399"/>
      <c r="AF55" s="330"/>
      <c r="AG55" s="330"/>
      <c r="AH55" s="330"/>
      <c r="AI55" s="331"/>
      <c r="AJ55" s="330"/>
      <c r="AK55" s="331"/>
      <c r="AL55" s="365"/>
      <c r="AM55" s="365"/>
      <c r="AN55" s="365"/>
      <c r="AO55" s="365"/>
      <c r="AP55" s="365"/>
      <c r="AQ55" s="365"/>
    </row>
    <row r="56" s="366" customFormat="true" ht="24" hidden="true" customHeight="true" outlineLevel="0" collapsed="false">
      <c r="A56" s="374"/>
      <c r="B56" s="375"/>
      <c r="C56" s="376"/>
      <c r="D56" s="377"/>
      <c r="E56" s="398">
        <f aca="false">C56/$C$59</f>
      </c>
      <c r="F56" s="402">
        <f aca="false">ROUND(D56/$D$59*($N$29+$S$29)+D56*0.02,2)</f>
      </c>
      <c r="G56" s="403">
        <f aca="false">F56*0.3025</f>
      </c>
      <c r="H56" s="404">
        <f aca="false">+D56+F56</f>
      </c>
      <c r="I56" s="398">
        <f aca="false">H56*0.3025</f>
      </c>
      <c r="J56" s="383"/>
      <c r="K56" s="383"/>
      <c r="L56" s="383"/>
      <c r="M56" s="383"/>
      <c r="N56" s="383"/>
      <c r="O56" s="383"/>
      <c r="P56" s="402"/>
      <c r="Q56" s="397"/>
      <c r="R56" s="398">
        <f aca="false">P56*0.3025</f>
      </c>
      <c r="S56" s="402">
        <f aca="false">ROUND(D56/$D$59*$S$59,2)</f>
      </c>
      <c r="T56" s="398">
        <f aca="false">S56*0.3025</f>
      </c>
      <c r="U56" s="405">
        <f aca="false">J56+P56+S56</f>
      </c>
      <c r="V56" s="398">
        <f aca="false">U56*0.3025</f>
      </c>
      <c r="W56" s="397"/>
      <c r="X56" s="398"/>
      <c r="Y56" s="406">
        <f aca="false">H56+U56</f>
      </c>
      <c r="Z56" s="256">
        <f aca="false">Y56*0.3025</f>
      </c>
      <c r="AA56" s="394"/>
      <c r="AB56" s="407">
        <f aca="false">+D56+AA56</f>
      </c>
      <c r="AC56" s="403">
        <f aca="false">AB56*0.3025</f>
      </c>
      <c r="AD56" s="400"/>
      <c r="AE56" s="399"/>
      <c r="AF56" s="330"/>
      <c r="AG56" s="330"/>
      <c r="AH56" s="330"/>
      <c r="AI56" s="331"/>
      <c r="AJ56" s="330"/>
      <c r="AK56" s="331"/>
      <c r="AL56" s="365"/>
      <c r="AM56" s="365"/>
      <c r="AN56" s="365"/>
      <c r="AO56" s="365"/>
      <c r="AP56" s="365"/>
      <c r="AQ56" s="365"/>
    </row>
    <row r="57" s="366" customFormat="true" ht="24" hidden="true" customHeight="true" outlineLevel="0" collapsed="false">
      <c r="A57" s="374"/>
      <c r="B57" s="375"/>
      <c r="C57" s="376"/>
      <c r="D57" s="377"/>
      <c r="E57" s="398">
        <f aca="false">C57/$C$59</f>
      </c>
      <c r="F57" s="402">
        <f aca="false">ROUND(D57/$D$59*($N$29+$S$29)+D57*0.02,2)</f>
      </c>
      <c r="G57" s="403">
        <f aca="false">F57*0.3025</f>
      </c>
      <c r="H57" s="404">
        <f aca="false">+D57+F57</f>
      </c>
      <c r="I57" s="398">
        <f aca="false">H57*0.3025</f>
      </c>
      <c r="J57" s="383"/>
      <c r="K57" s="383"/>
      <c r="L57" s="383"/>
      <c r="M57" s="383"/>
      <c r="N57" s="383"/>
      <c r="O57" s="383"/>
      <c r="P57" s="402"/>
      <c r="Q57" s="397"/>
      <c r="R57" s="398">
        <f aca="false">P57*0.3025</f>
      </c>
      <c r="S57" s="402">
        <f aca="false">ROUND(D57/$D$59*$S$59,2)</f>
      </c>
      <c r="T57" s="398">
        <f aca="false">S57*0.3025</f>
      </c>
      <c r="U57" s="405">
        <f aca="false">J57+P57+S57</f>
      </c>
      <c r="V57" s="398">
        <f aca="false">U57*0.3025</f>
      </c>
      <c r="W57" s="397"/>
      <c r="X57" s="398"/>
      <c r="Y57" s="406">
        <f aca="false">H57+U57</f>
      </c>
      <c r="Z57" s="256">
        <f aca="false">Y57*0.3025</f>
      </c>
      <c r="AA57" s="394"/>
      <c r="AB57" s="407">
        <f aca="false">+D57+AA57</f>
      </c>
      <c r="AC57" s="403">
        <f aca="false">AB57*0.3025</f>
      </c>
      <c r="AD57" s="400"/>
      <c r="AE57" s="399"/>
      <c r="AF57" s="330"/>
      <c r="AG57" s="330"/>
      <c r="AH57" s="330"/>
      <c r="AI57" s="331"/>
      <c r="AJ57" s="330"/>
      <c r="AK57" s="331"/>
      <c r="AL57" s="365"/>
      <c r="AM57" s="365"/>
      <c r="AN57" s="365"/>
      <c r="AO57" s="365"/>
      <c r="AP57" s="365"/>
      <c r="AQ57" s="365"/>
    </row>
    <row r="58" s="366" customFormat="true" ht="24" hidden="true" customHeight="true" outlineLevel="0" collapsed="false">
      <c r="A58" s="374"/>
      <c r="B58" s="375"/>
      <c r="C58" s="376"/>
      <c r="D58" s="377"/>
      <c r="E58" s="398">
        <f aca="false">C58/$C$59</f>
      </c>
      <c r="F58" s="402">
        <f aca="false">ROUND(D58/$D$59*$N$29+D58*0.02,2)</f>
      </c>
      <c r="G58" s="403">
        <f aca="false">F58*0.3025</f>
      </c>
      <c r="H58" s="404">
        <f aca="false">+D58+F58</f>
      </c>
      <c r="I58" s="398">
        <f aca="false">H58*0.3025</f>
      </c>
      <c r="J58" s="383"/>
      <c r="K58" s="383"/>
      <c r="L58" s="383"/>
      <c r="M58" s="383"/>
      <c r="N58" s="383"/>
      <c r="O58" s="383"/>
      <c r="P58" s="402"/>
      <c r="Q58" s="397"/>
      <c r="R58" s="398">
        <f aca="false">P58*0.3025</f>
      </c>
      <c r="S58" s="402">
        <f aca="false">ROUND(D58/$D$59*$S$59,2)</f>
      </c>
      <c r="T58" s="398">
        <f aca="false">S58*0.3025</f>
      </c>
      <c r="U58" s="405">
        <f aca="false">J58+P58+S58</f>
      </c>
      <c r="V58" s="398">
        <f aca="false">U58*0.3025</f>
      </c>
      <c r="W58" s="397"/>
      <c r="X58" s="398"/>
      <c r="Y58" s="406">
        <f aca="false">H58+U58</f>
      </c>
      <c r="Z58" s="256">
        <f aca="false">Y58*0.3025</f>
      </c>
      <c r="AA58" s="389"/>
      <c r="AB58" s="407">
        <f aca="false">+D58+AA58</f>
      </c>
      <c r="AC58" s="403">
        <f aca="false">AB58*0.3025</f>
      </c>
      <c r="AD58" s="400"/>
      <c r="AE58" s="399"/>
      <c r="AF58" s="330"/>
      <c r="AG58" s="330"/>
      <c r="AH58" s="330"/>
      <c r="AI58" s="331"/>
      <c r="AJ58" s="330"/>
      <c r="AK58" s="331"/>
      <c r="AL58" s="365"/>
      <c r="AM58" s="365"/>
      <c r="AN58" s="365"/>
      <c r="AO58" s="365"/>
      <c r="AP58" s="365"/>
      <c r="AQ58" s="365"/>
    </row>
    <row r="59" s="423" customFormat="true" ht="24" hidden="true" customHeight="true" outlineLevel="0" collapsed="false">
      <c r="A59" s="305"/>
      <c r="B59" s="408" t="s">
        <v>72</v>
      </c>
      <c r="C59" s="409">
        <f aca="false">SUM(C49:C58)</f>
      </c>
      <c r="D59" s="410">
        <f aca="false">+$C$49*D49+$C$50*D50+$C$51*D51+$C$52*D52+$C$53*D53+$C$54*D54+$C$55*D55+$C$56*D56</f>
      </c>
      <c r="E59" s="411">
        <f aca="false">SUM(E49:E58)</f>
      </c>
      <c r="F59" s="412"/>
      <c r="G59" s="413"/>
      <c r="H59" s="414">
        <f aca="false">+$C$49*H49+$C$50*H50+$C$51*H51+$C$52*H52+$C$53*H53+$C$54*H54+$C$55*H55+$C$56*H56</f>
      </c>
      <c r="I59" s="388">
        <f aca="false">H59*0.3025</f>
      </c>
      <c r="J59" s="415"/>
      <c r="K59" s="415"/>
      <c r="L59" s="415"/>
      <c r="M59" s="415"/>
      <c r="N59" s="415"/>
      <c r="O59" s="415"/>
      <c r="P59" s="416">
        <f aca="false">SUM(P49:P58)</f>
      </c>
      <c r="Q59" s="388">
        <f aca="false">P59*0.3025</f>
      </c>
      <c r="R59" s="413">
        <f aca="false">P59*0.3025</f>
      </c>
      <c r="S59" s="417">
        <f aca="false">+Y36</f>
      </c>
      <c r="T59" s="413">
        <f aca="false">S59*0.3025</f>
      </c>
      <c r="U59" s="412">
        <f aca="false">+J59+P59+S59</f>
      </c>
      <c r="V59" s="388">
        <f aca="false">U59*0.3025</f>
      </c>
      <c r="W59" s="418"/>
      <c r="X59" s="388"/>
      <c r="Y59" s="387">
        <f aca="false">H59+U59</f>
      </c>
      <c r="Z59" s="388">
        <f aca="false">Y59*0.3025</f>
      </c>
      <c r="AA59" s="419"/>
      <c r="AB59" s="420">
        <f aca="false">SUM(AB49:AB58)</f>
      </c>
      <c r="AC59" s="388">
        <f aca="false">AB59*0.3025</f>
      </c>
      <c r="AD59" s="421"/>
      <c r="AE59" s="302"/>
      <c r="AF59" s="422"/>
      <c r="AG59" s="422"/>
      <c r="AH59" s="303"/>
      <c r="AI59" s="304"/>
      <c r="AJ59" s="303"/>
      <c r="AK59" s="304"/>
      <c r="AL59" s="85"/>
      <c r="AM59" s="85"/>
      <c r="AN59" s="85"/>
      <c r="AO59" s="85"/>
      <c r="AP59" s="85"/>
      <c r="AQ59" s="85"/>
    </row>
    <row r="60" s="423" customFormat="true" ht="10.5" hidden="true" customHeight="true" outlineLevel="0" collapsed="false">
      <c r="A60" s="305"/>
      <c r="B60" s="343"/>
      <c r="C60" s="424"/>
      <c r="D60" s="425"/>
      <c r="E60" s="426"/>
      <c r="F60" s="425"/>
      <c r="G60" s="329"/>
      <c r="H60" s="425"/>
      <c r="I60" s="329"/>
      <c r="J60" s="425"/>
      <c r="K60" s="425"/>
      <c r="L60" s="425"/>
      <c r="M60" s="425"/>
      <c r="N60" s="329"/>
      <c r="O60" s="329"/>
      <c r="P60" s="427"/>
      <c r="Q60" s="427"/>
      <c r="R60" s="427"/>
      <c r="S60" s="427"/>
      <c r="T60" s="427"/>
      <c r="U60" s="329"/>
      <c r="V60" s="425"/>
      <c r="W60" s="425"/>
      <c r="X60" s="329"/>
      <c r="Y60" s="425"/>
      <c r="Z60" s="329"/>
      <c r="AA60" s="428"/>
      <c r="AB60" s="392"/>
      <c r="AC60" s="302"/>
      <c r="AD60" s="302"/>
      <c r="AE60" s="302"/>
      <c r="AF60" s="303"/>
      <c r="AG60" s="303"/>
      <c r="AH60" s="303"/>
      <c r="AI60" s="304"/>
      <c r="AJ60" s="303"/>
      <c r="AK60" s="304"/>
      <c r="AL60" s="85"/>
      <c r="AM60" s="85"/>
      <c r="AN60" s="85"/>
      <c r="AO60" s="85"/>
      <c r="AP60" s="85"/>
      <c r="AQ60" s="85"/>
    </row>
    <row r="61" customFormat="false" ht="15.95" hidden="false" customHeight="true" outlineLevel="0" collapsed="false">
      <c r="A61" s="5"/>
      <c r="B61" s="85"/>
      <c r="C61" s="85"/>
      <c r="D61" s="85"/>
      <c r="E61" s="85"/>
      <c r="F61" s="85"/>
      <c r="G61" s="85"/>
      <c r="H61" s="85"/>
      <c r="I61" s="85"/>
      <c r="J61" s="85"/>
      <c r="K61" s="85" t="s">
        <v>90</v>
      </c>
      <c r="L61" s="85">
        <f aca="false">J37+L37</f>
      </c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131"/>
      <c r="AJ61" s="85"/>
      <c r="AK61" s="131"/>
      <c r="AL61" s="85"/>
      <c r="AM61" s="85"/>
      <c r="AN61" s="85"/>
      <c r="AO61" s="85"/>
      <c r="AP61" s="85"/>
      <c r="AQ61" s="85"/>
    </row>
    <row r="62" customFormat="false" ht="15.95" hidden="false" customHeight="true" outlineLevel="0" collapsed="false">
      <c r="A62" s="5"/>
      <c r="B62" s="85"/>
      <c r="C62" s="85"/>
      <c r="D62" s="85"/>
      <c r="E62" s="85"/>
      <c r="F62" s="85"/>
      <c r="G62" s="85">
        <f aca="false">N28/L61*J37</f>
      </c>
      <c r="H62" s="85"/>
      <c r="I62" s="85"/>
      <c r="J62" s="85"/>
      <c r="K62" s="85"/>
      <c r="L62" s="85"/>
      <c r="M62" s="85"/>
      <c r="N62" s="85"/>
      <c r="O62" s="85"/>
      <c r="P62" s="85">
        <f aca="false">L25+L26</f>
      </c>
      <c r="Q62" s="85">
        <f aca="false">P62/70</f>
      </c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131"/>
      <c r="AJ62" s="85"/>
      <c r="AK62" s="131"/>
      <c r="AL62" s="85"/>
      <c r="AM62" s="85"/>
      <c r="AN62" s="85"/>
      <c r="AO62" s="85"/>
      <c r="AP62" s="85"/>
      <c r="AQ62" s="85"/>
    </row>
    <row r="63" customFormat="false" ht="15.95" hidden="false" customHeight="true" outlineLevel="0" collapsed="false">
      <c r="A63" s="5"/>
      <c r="B63" s="85"/>
      <c r="C63" s="85"/>
      <c r="D63" s="85"/>
      <c r="E63" s="85"/>
      <c r="F63" s="85"/>
      <c r="G63" s="85">
        <f aca="false">N30+J37+G62</f>
      </c>
      <c r="H63" s="85"/>
      <c r="I63" s="85"/>
      <c r="J63" s="85"/>
      <c r="K63" s="85" t="s">
        <v>91</v>
      </c>
      <c r="L63" s="85">
        <f aca="false">N37/L61*J37+J37</f>
      </c>
      <c r="M63" s="102">
        <f aca="false">L63/P37</f>
      </c>
      <c r="N63" s="85"/>
      <c r="O63" s="85"/>
      <c r="P63" s="85"/>
      <c r="Q63" s="85">
        <f aca="false">L27/85</f>
      </c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131"/>
      <c r="AJ63" s="85"/>
      <c r="AK63" s="131"/>
      <c r="AL63" s="85"/>
      <c r="AM63" s="85"/>
      <c r="AN63" s="85"/>
      <c r="AO63" s="85"/>
      <c r="AP63" s="85"/>
      <c r="AQ63" s="85"/>
    </row>
    <row r="64" customFormat="false" ht="15.95" hidden="false" customHeight="true" outlineLevel="0" collapsed="false">
      <c r="A64" s="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>
        <f aca="false">L63/134</f>
      </c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131"/>
      <c r="AJ64" s="85"/>
      <c r="AK64" s="131"/>
      <c r="AL64" s="85"/>
      <c r="AM64" s="85"/>
      <c r="AN64" s="85"/>
      <c r="AO64" s="85"/>
      <c r="AP64" s="85"/>
      <c r="AQ64" s="85"/>
    </row>
    <row r="65" customFormat="false" ht="15.95" hidden="false" customHeight="true" outlineLevel="0" collapsed="false">
      <c r="A65" s="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>
        <f aca="false">+P65*1.5</f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131"/>
      <c r="AJ65" s="85"/>
      <c r="AK65" s="131"/>
      <c r="AL65" s="85"/>
      <c r="AM65" s="85"/>
      <c r="AN65" s="85"/>
      <c r="AO65" s="85"/>
      <c r="AP65" s="85"/>
      <c r="AQ65" s="85"/>
    </row>
    <row r="66" customFormat="false" ht="15.95" hidden="false" customHeight="true" outlineLevel="0" collapsed="false">
      <c r="A66" s="5"/>
      <c r="B66" s="85"/>
      <c r="C66" s="85"/>
      <c r="D66" s="85"/>
      <c r="E66" s="85"/>
      <c r="F66" s="85"/>
      <c r="G66" s="85"/>
      <c r="H66" s="429">
        <f aca="false">N37/L61*J37</f>
      </c>
      <c r="I66" s="429">
        <f aca="false">H66+J37</f>
      </c>
      <c r="J66" s="430">
        <f aca="false">I66/I68</f>
      </c>
      <c r="K66" s="85"/>
      <c r="L66" s="85">
        <f aca="false">+N37</f>
      </c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131"/>
      <c r="AJ66" s="85"/>
      <c r="AK66" s="131"/>
      <c r="AL66" s="85"/>
      <c r="AM66" s="85"/>
      <c r="AN66" s="85"/>
      <c r="AO66" s="85"/>
      <c r="AP66" s="85"/>
      <c r="AQ66" s="85"/>
    </row>
    <row r="67" customFormat="false" ht="15.95" hidden="false" customHeight="true" outlineLevel="0" collapsed="false">
      <c r="A67" s="5"/>
      <c r="B67" s="85"/>
      <c r="C67" s="85"/>
      <c r="D67" s="85"/>
      <c r="E67" s="85"/>
      <c r="F67" s="85"/>
      <c r="G67" s="85"/>
      <c r="H67" s="429">
        <f aca="false">N37/L61*L37</f>
      </c>
      <c r="I67" s="429">
        <f aca="false">H67+L37</f>
      </c>
      <c r="J67" s="430">
        <f aca="false">I67/I68</f>
      </c>
      <c r="K67" s="85">
        <f aca="false">+J37</f>
      </c>
      <c r="L67" s="85">
        <f aca="false">+L66*K67/K69</f>
      </c>
      <c r="M67" s="85">
        <f aca="false">+K67+L67</f>
      </c>
      <c r="N67" s="85">
        <f aca="false">+M67/M69</f>
      </c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>
        <f aca="false">Q67/AB67</f>
      </c>
      <c r="AD67" s="85"/>
      <c r="AE67" s="85"/>
      <c r="AF67" s="85"/>
      <c r="AG67" s="85"/>
      <c r="AH67" s="85"/>
      <c r="AI67" s="131"/>
      <c r="AJ67" s="85"/>
      <c r="AK67" s="131"/>
      <c r="AL67" s="85"/>
      <c r="AM67" s="85"/>
      <c r="AN67" s="85"/>
      <c r="AO67" s="85"/>
      <c r="AP67" s="85"/>
      <c r="AQ67" s="85"/>
    </row>
    <row r="68" customFormat="false" ht="15.95" hidden="false" customHeight="true" outlineLevel="0" collapsed="false">
      <c r="A68" s="5"/>
      <c r="B68" s="85"/>
      <c r="C68" s="85"/>
      <c r="D68" s="85"/>
      <c r="E68" s="85"/>
      <c r="F68" s="85"/>
      <c r="G68" s="85"/>
      <c r="H68" s="429"/>
      <c r="I68" s="429">
        <f aca="false">SUM(I66:I67)</f>
      </c>
      <c r="J68" s="429"/>
      <c r="K68" s="85">
        <f aca="false">+L37</f>
      </c>
      <c r="L68" s="85">
        <f aca="false">+L66*K68/K69</f>
      </c>
      <c r="M68" s="85">
        <f aca="false">+K68+L68</f>
      </c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131"/>
      <c r="AJ68" s="85"/>
      <c r="AK68" s="131"/>
      <c r="AL68" s="85"/>
      <c r="AM68" s="85"/>
      <c r="AN68" s="85"/>
      <c r="AO68" s="85"/>
      <c r="AP68" s="85"/>
      <c r="AQ68" s="85"/>
    </row>
    <row r="69" customFormat="false" ht="15.95" hidden="false" customHeight="true" outlineLevel="0" collapsed="false">
      <c r="A69" s="5"/>
      <c r="B69" s="85"/>
      <c r="C69" s="85"/>
      <c r="D69" s="85"/>
      <c r="E69" s="85"/>
      <c r="F69" s="85"/>
      <c r="G69" s="85"/>
      <c r="H69" s="85"/>
      <c r="I69" s="85"/>
      <c r="J69" s="85"/>
      <c r="K69" s="85">
        <f aca="false">SUM(K67:K68)</f>
      </c>
      <c r="L69" s="85"/>
      <c r="M69" s="85">
        <f aca="false">SUM(M67:M68)</f>
      </c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131"/>
      <c r="AJ69" s="85"/>
      <c r="AK69" s="131"/>
      <c r="AL69" s="85"/>
      <c r="AM69" s="85"/>
      <c r="AN69" s="85"/>
      <c r="AO69" s="85"/>
      <c r="AP69" s="85"/>
      <c r="AQ69" s="85"/>
    </row>
    <row r="70" customFormat="false" ht="15.95" hidden="false" customHeight="true" outlineLevel="0" collapsed="false">
      <c r="A70" s="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>
        <f aca="false">N37/(J37+L37)*J37+J37</f>
      </c>
      <c r="P70" s="102">
        <f aca="false">O70/E23</f>
      </c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131"/>
      <c r="AJ70" s="85"/>
      <c r="AK70" s="131"/>
      <c r="AL70" s="85"/>
      <c r="AM70" s="85"/>
      <c r="AN70" s="85"/>
      <c r="AO70" s="85"/>
      <c r="AP70" s="85"/>
      <c r="AQ70" s="85"/>
    </row>
    <row r="71" customFormat="false" ht="15.95" hidden="false" customHeight="true" outlineLevel="0" collapsed="false">
      <c r="A71" s="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131"/>
      <c r="AJ71" s="85"/>
      <c r="AK71" s="131"/>
      <c r="AL71" s="85"/>
      <c r="AM71" s="85"/>
      <c r="AN71" s="85"/>
      <c r="AO71" s="85"/>
      <c r="AP71" s="85"/>
      <c r="AQ71" s="85"/>
    </row>
    <row r="72" customFormat="false" ht="15.95" hidden="false" customHeight="true" outlineLevel="0" collapsed="false">
      <c r="A72" s="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131"/>
      <c r="AJ72" s="85"/>
      <c r="AK72" s="131"/>
      <c r="AL72" s="85"/>
      <c r="AM72" s="85"/>
      <c r="AN72" s="85"/>
      <c r="AO72" s="85"/>
      <c r="AP72" s="85"/>
      <c r="AQ72" s="85"/>
    </row>
    <row r="73" customFormat="false" ht="15.95" hidden="false" customHeight="true" outlineLevel="0" collapsed="false">
      <c r="A73" s="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131"/>
      <c r="AJ73" s="85"/>
      <c r="AK73" s="131"/>
      <c r="AL73" s="85"/>
      <c r="AM73" s="85"/>
      <c r="AN73" s="85"/>
      <c r="AO73" s="85"/>
      <c r="AP73" s="85"/>
      <c r="AQ73" s="85"/>
    </row>
    <row r="74" customFormat="false" ht="15.95" hidden="false" customHeight="true" outlineLevel="0" collapsed="false">
      <c r="A74" s="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131"/>
      <c r="AJ74" s="85"/>
      <c r="AK74" s="131"/>
      <c r="AL74" s="85"/>
      <c r="AM74" s="85"/>
      <c r="AN74" s="85"/>
      <c r="AO74" s="85"/>
      <c r="AP74" s="85"/>
      <c r="AQ74" s="85"/>
    </row>
    <row r="75" customFormat="false" ht="15.95" hidden="false" customHeight="true" outlineLevel="0" collapsed="false">
      <c r="A75" s="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131"/>
      <c r="AJ75" s="85"/>
      <c r="AK75" s="131"/>
      <c r="AL75" s="85"/>
      <c r="AM75" s="85"/>
      <c r="AN75" s="85"/>
      <c r="AO75" s="85"/>
      <c r="AP75" s="85"/>
      <c r="AQ75" s="85"/>
    </row>
    <row r="76" customFormat="false" ht="15.95" hidden="false" customHeight="true" outlineLevel="0" collapsed="false">
      <c r="A76" s="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131"/>
      <c r="AJ76" s="85"/>
      <c r="AK76" s="131"/>
      <c r="AL76" s="85"/>
      <c r="AM76" s="85"/>
      <c r="AN76" s="85"/>
      <c r="AO76" s="85"/>
      <c r="AP76" s="85"/>
      <c r="AQ76" s="85"/>
    </row>
    <row r="77" customFormat="false" ht="15.95" hidden="false" customHeight="true" outlineLevel="0" collapsed="false">
      <c r="A77" s="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131"/>
      <c r="AJ77" s="85"/>
      <c r="AK77" s="131"/>
      <c r="AL77" s="85"/>
      <c r="AM77" s="85"/>
      <c r="AN77" s="85"/>
      <c r="AO77" s="85"/>
      <c r="AP77" s="85"/>
      <c r="AQ77" s="85"/>
    </row>
    <row r="78" customFormat="false" ht="15.95" hidden="false" customHeight="true" outlineLevel="0" collapsed="false">
      <c r="A78" s="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131"/>
      <c r="AJ78" s="85"/>
      <c r="AK78" s="131"/>
      <c r="AL78" s="85"/>
      <c r="AM78" s="85"/>
      <c r="AN78" s="85"/>
      <c r="AO78" s="85"/>
      <c r="AP78" s="85"/>
      <c r="AQ78" s="85"/>
    </row>
    <row r="79" customFormat="false" ht="15.95" hidden="false" customHeight="true" outlineLevel="0" collapsed="false">
      <c r="A79" s="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131"/>
      <c r="AJ79" s="85"/>
      <c r="AK79" s="131"/>
      <c r="AL79" s="85"/>
      <c r="AM79" s="85"/>
      <c r="AN79" s="85"/>
      <c r="AO79" s="85"/>
      <c r="AP79" s="85"/>
      <c r="AQ79" s="85"/>
    </row>
    <row r="80" customFormat="false" ht="15.95" hidden="false" customHeight="true" outlineLevel="0" collapsed="false">
      <c r="A80" s="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131"/>
      <c r="AJ80" s="85"/>
      <c r="AK80" s="131"/>
      <c r="AL80" s="85"/>
      <c r="AM80" s="85"/>
      <c r="AN80" s="85"/>
      <c r="AO80" s="85"/>
      <c r="AP80" s="85"/>
      <c r="AQ80" s="85"/>
    </row>
    <row r="81" customFormat="false" ht="15.95" hidden="false" customHeight="true" outlineLevel="0" collapsed="false">
      <c r="A81" s="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131"/>
      <c r="AJ81" s="85"/>
      <c r="AK81" s="131"/>
      <c r="AL81" s="85"/>
      <c r="AM81" s="85"/>
      <c r="AN81" s="85"/>
      <c r="AO81" s="85"/>
      <c r="AP81" s="85"/>
      <c r="AQ81" s="85"/>
    </row>
    <row r="82" customFormat="false" ht="15.95" hidden="false" customHeight="true" outlineLevel="0" collapsed="false">
      <c r="A82" s="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131"/>
      <c r="AJ82" s="85"/>
      <c r="AK82" s="131"/>
      <c r="AL82" s="85"/>
      <c r="AM82" s="85"/>
      <c r="AN82" s="85"/>
      <c r="AO82" s="85"/>
      <c r="AP82" s="85"/>
    </row>
    <row r="83" customFormat="false" ht="15.95" hidden="false" customHeight="true" outlineLevel="0" collapsed="false"/>
    <row r="84" customFormat="false" ht="15.95" hidden="false" customHeight="true" outlineLevel="0" collapsed="false">
      <c r="K84" s="2"/>
      <c r="L84" s="2"/>
      <c r="M84" s="2">
        <f aca="false">K84/L84</f>
      </c>
    </row>
    <row r="85" customFormat="false" ht="15.95" hidden="false" customHeight="true" outlineLevel="0" collapsed="false"/>
    <row r="86" customFormat="false" ht="15.95" hidden="false" customHeight="true" outlineLevel="0" collapsed="false"/>
    <row r="87" s="1" customFormat="true" ht="15.95" hidden="false" customHeight="true" outlineLevel="0" collapsed="false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3"/>
      <c r="AJ87" s="2"/>
      <c r="AK87" s="3"/>
      <c r="AL87" s="2"/>
      <c r="AM87" s="2"/>
      <c r="AN87" s="2"/>
      <c r="AO87" s="2"/>
      <c r="AP87" s="2"/>
      <c r="AQ87" s="2"/>
      <c r="AR87" s="2"/>
    </row>
    <row r="88" s="1" customFormat="true" ht="15.95" hidden="false" customHeight="true" outlineLevel="0" collapsed="false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3"/>
      <c r="AJ88" s="2"/>
      <c r="AK88" s="3"/>
      <c r="AL88" s="2"/>
      <c r="AM88" s="2"/>
      <c r="AN88" s="2"/>
      <c r="AO88" s="2"/>
      <c r="AP88" s="2"/>
      <c r="AQ88" s="2"/>
      <c r="AR88" s="2"/>
    </row>
    <row r="89" s="1" customFormat="true" ht="15.95" hidden="false" customHeight="true" outlineLevel="0" collapsed="false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3"/>
      <c r="AJ89" s="2"/>
      <c r="AK89" s="3"/>
      <c r="AL89" s="2"/>
      <c r="AM89" s="2"/>
      <c r="AN89" s="2"/>
      <c r="AO89" s="2"/>
      <c r="AP89" s="2"/>
      <c r="AQ89" s="2"/>
      <c r="AR89" s="2"/>
    </row>
  </sheetData>
  <mergeCells count="74">
    <mergeCell ref="B2:C2"/>
    <mergeCell ref="B3:C3"/>
    <mergeCell ref="C6:G6"/>
    <mergeCell ref="C7:F7"/>
    <mergeCell ref="I7:I8"/>
    <mergeCell ref="J7:K7"/>
    <mergeCell ref="L7:M7"/>
    <mergeCell ref="N7:O7"/>
    <mergeCell ref="P7:Q7"/>
    <mergeCell ref="R7:T7"/>
    <mergeCell ref="U7:W7"/>
    <mergeCell ref="X7:X8"/>
    <mergeCell ref="Y7:Y8"/>
    <mergeCell ref="Z7:Z8"/>
    <mergeCell ref="AA7:AA8"/>
    <mergeCell ref="AB7:AD8"/>
    <mergeCell ref="AE7:AE8"/>
    <mergeCell ref="D8:F8"/>
    <mergeCell ref="C9:C15"/>
    <mergeCell ref="AB9:AD9"/>
    <mergeCell ref="AB13:AD13"/>
    <mergeCell ref="D16:G16"/>
    <mergeCell ref="D18:G18"/>
    <mergeCell ref="D19:F19"/>
    <mergeCell ref="AB25:AD26"/>
    <mergeCell ref="AB27:AD27"/>
    <mergeCell ref="AB28:AD28"/>
    <mergeCell ref="AB29:AD29"/>
    <mergeCell ref="AB30:AD30"/>
    <mergeCell ref="E31:F31"/>
    <mergeCell ref="AB31:AD31"/>
    <mergeCell ref="E32:F32"/>
    <mergeCell ref="AB32:AD32"/>
    <mergeCell ref="AB33:AD33"/>
    <mergeCell ref="AB34:AD34"/>
    <mergeCell ref="AB35:AD35"/>
    <mergeCell ref="AB36:AD36"/>
    <mergeCell ref="AB37:AD38"/>
    <mergeCell ref="C41:D41"/>
    <mergeCell ref="E41:F41"/>
    <mergeCell ref="G41:H41"/>
    <mergeCell ref="I41:J41"/>
    <mergeCell ref="N41:P41"/>
    <mergeCell ref="U41:V41"/>
    <mergeCell ref="X41:Y41"/>
    <mergeCell ref="B46:F46"/>
    <mergeCell ref="B47:B48"/>
    <mergeCell ref="C47:C48"/>
    <mergeCell ref="D47:D48"/>
    <mergeCell ref="E47:E48"/>
    <mergeCell ref="F47:G47"/>
    <mergeCell ref="H47:I48"/>
    <mergeCell ref="J47:O47"/>
    <mergeCell ref="P47:Q47"/>
    <mergeCell ref="Y47:Z48"/>
    <mergeCell ref="AA47:AA48"/>
    <mergeCell ref="AB47:AC48"/>
    <mergeCell ref="AD47:AD48"/>
    <mergeCell ref="F48:G48"/>
    <mergeCell ref="J48:O48"/>
    <mergeCell ref="P48:Q48"/>
    <mergeCell ref="S48:T48"/>
    <mergeCell ref="U48:V48"/>
    <mergeCell ref="J49:O49"/>
    <mergeCell ref="J50:O50"/>
    <mergeCell ref="J51:O51"/>
    <mergeCell ref="J52:O52"/>
    <mergeCell ref="J53:O53"/>
    <mergeCell ref="J54:O54"/>
    <mergeCell ref="J55:O55"/>
    <mergeCell ref="J56:O56"/>
    <mergeCell ref="J57:O57"/>
    <mergeCell ref="J58:O58"/>
    <mergeCell ref="J59:O59"/>
  </mergeCells>
  <printOptions headings="false" gridLines="false" gridLinesSet="true" horizontalCentered="true" verticalCentered="false"/>
  <pageMargins left="0.747916666666667" right="0.747916666666667" top="0.590277777777778" bottom="0.5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AT89"/>
  <sheetViews>
    <sheetView showFormulas="false" showGridLines="false" showRowColHeaders="true" showZeros="true" rightToLeft="false" tabSelected="false" showOutlineSymbols="true" defaultGridColor="true" view="pageBreakPreview" topLeftCell="A1" colorId="64" zoomScale="70" zoomScaleNormal="130" zoomScalePageLayoutView="70" workbookViewId="0">
      <selection pane="topLeft" activeCell="M18" activeCellId="0" sqref="M18"/>
    </sheetView>
  </sheetViews>
  <sheetFormatPr defaultColWidth="8.8828125" defaultRowHeight="13.5" zeroHeight="false" outlineLevelRow="0" outlineLevelCol="0"/>
  <cols>
    <col collapsed="false" customWidth="true" hidden="false" outlineLevel="0" max="1" min="1" style="1" width="3.77"/>
    <col collapsed="false" customWidth="true" hidden="false" outlineLevel="0" max="5" min="2" style="2" width="12.11"/>
    <col collapsed="false" customWidth="true" hidden="false" outlineLevel="0" max="6" min="6" style="2" width="13.77"/>
    <col collapsed="false" customWidth="true" hidden="false" outlineLevel="0" max="7" min="7" style="2" width="15.55"/>
    <col collapsed="false" customWidth="true" hidden="false" outlineLevel="0" max="9" min="8" style="2" width="12.11"/>
    <col collapsed="false" customWidth="true" hidden="false" outlineLevel="0" max="17" min="10" style="2" width="13.11"/>
    <col collapsed="false" customWidth="true" hidden="true" outlineLevel="0" max="27" min="18" style="2" width="12.11"/>
    <col collapsed="false" customWidth="true" hidden="false" outlineLevel="0" max="28" min="28" style="2" width="12.44"/>
    <col collapsed="false" customWidth="true" hidden="false" outlineLevel="0" max="29" min="29" style="2" width="8.44"/>
    <col collapsed="false" customWidth="true" hidden="false" outlineLevel="0" max="30" min="30" style="2" width="6.32"/>
    <col collapsed="false" customWidth="true" hidden="false" outlineLevel="0" max="31" min="31" style="2" width="3.33"/>
    <col collapsed="false" customWidth="true" hidden="false" outlineLevel="0" max="32" min="32" style="2" width="8.99"/>
    <col collapsed="false" customWidth="true" hidden="false" outlineLevel="0" max="33" min="33" style="2" width="7.88"/>
    <col collapsed="false" customWidth="true" hidden="false" outlineLevel="0" max="34" min="34" style="2" width="8.99"/>
    <col collapsed="false" customWidth="true" hidden="false" outlineLevel="0" max="35" min="35" style="3" width="7.88"/>
    <col collapsed="false" customWidth="true" hidden="false" outlineLevel="0" max="36" min="36" style="2" width="8.99"/>
    <col collapsed="false" customWidth="true" hidden="false" outlineLevel="0" max="37" min="37" style="3" width="6.1"/>
    <col collapsed="false" customWidth="true" hidden="false" outlineLevel="0" max="38" min="38" style="2" width="8.99"/>
    <col collapsed="false" customWidth="true" hidden="false" outlineLevel="0" max="41" min="39" style="2" width="5.21"/>
    <col collapsed="false" customWidth="true" hidden="false" outlineLevel="0" max="42" min="42" style="2" width="11.11"/>
    <col collapsed="false" customWidth="true" hidden="false" outlineLevel="0" max="43" min="43" style="2" width="2.32"/>
    <col collapsed="false" customWidth="true" hidden="false" outlineLevel="0" max="56" min="44" style="2" width="9.77"/>
    <col collapsed="false" customWidth="false" hidden="false" outlineLevel="0" max="257" min="57" style="2" width="8.88"/>
  </cols>
  <sheetData>
    <row r="1" customFormat="false" ht="24" hidden="false" customHeight="true" outlineLevel="0" collapsed="false">
      <c r="D1" s="3" t="s">
        <v>0</v>
      </c>
      <c r="E1" s="3" t="s">
        <v>1</v>
      </c>
    </row>
    <row r="2" customFormat="false" ht="24" hidden="false" customHeight="true" outlineLevel="0" collapsed="false">
      <c r="B2" s="4" t="s">
        <v>2</v>
      </c>
      <c r="C2" s="4"/>
      <c r="D2" s="2">
        <f aca="false">+E15*F24</f>
      </c>
      <c r="E2" s="2">
        <f aca="false">+D2*0.3025</f>
      </c>
      <c r="I2" s="2"/>
      <c r="U2" s="2"/>
    </row>
    <row r="3" customFormat="false" ht="24" hidden="false" customHeight="true" outlineLevel="0" collapsed="false">
      <c r="B3" s="4" t="s">
        <v>3</v>
      </c>
      <c r="C3" s="4"/>
      <c r="D3" s="2">
        <f aca="false">+E15*F25</f>
      </c>
      <c r="E3" s="2">
        <f aca="false">+D3*0.3025</f>
      </c>
      <c r="F3" s="2">
        <f aca="false">+D3*0.015</f>
      </c>
      <c r="G3" s="2">
        <f aca="false">+F3/12</f>
      </c>
      <c r="I3" s="2">
        <f aca="false">+D3/D2</f>
      </c>
      <c r="N3" s="2">
        <f aca="false">+E15/2</f>
      </c>
      <c r="P3" s="2">
        <f aca="false">+N3*0.6</f>
      </c>
      <c r="R3" s="2"/>
      <c r="S3" s="2">
        <f aca="false">+R3*0.3025</f>
      </c>
    </row>
    <row r="4" customFormat="false" ht="24" hidden="false" customHeight="true" outlineLevel="0" collapsed="false">
      <c r="D4" s="2">
        <f aca="false">+P29</f>
      </c>
      <c r="E4" s="2">
        <f aca="false">+D3-D4</f>
      </c>
      <c r="T4" s="2"/>
      <c r="U4" s="2"/>
      <c r="V4" s="2"/>
      <c r="W4" s="2">
        <f aca="false">+T4+U4</f>
      </c>
      <c r="X4" s="2">
        <f aca="false">+W4-V4</f>
      </c>
    </row>
    <row r="5" customFormat="false" ht="24" hidden="false" customHeight="true" outlineLevel="0" collapsed="false">
      <c r="A5" s="5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8" t="s">
        <v>4</v>
      </c>
      <c r="AE5" s="8"/>
      <c r="AF5" s="7"/>
      <c r="AG5" s="7"/>
      <c r="AH5" s="7"/>
      <c r="AI5" s="9"/>
      <c r="AJ5" s="7"/>
      <c r="AK5" s="9"/>
      <c r="AL5" s="85"/>
      <c r="AM5" s="85"/>
      <c r="AN5" s="85"/>
      <c r="AO5" s="85"/>
      <c r="AP5" s="85"/>
      <c r="AQ5" s="11"/>
      <c r="AR5" s="11"/>
    </row>
    <row r="6" customFormat="false" ht="24" hidden="false" customHeight="true" outlineLevel="0" collapsed="false">
      <c r="A6" s="12"/>
      <c r="B6" s="13" t="s">
        <v>5</v>
      </c>
      <c r="C6" s="14" t="s">
        <v>6</v>
      </c>
      <c r="D6" s="14"/>
      <c r="E6" s="14"/>
      <c r="F6" s="14"/>
      <c r="G6" s="14"/>
      <c r="H6" s="13"/>
      <c r="I6" s="13" t="s">
        <v>7</v>
      </c>
      <c r="J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7"/>
      <c r="AB6" s="16"/>
      <c r="AC6" s="17"/>
      <c r="AD6" s="17" t="s">
        <v>8</v>
      </c>
      <c r="AE6" s="17"/>
      <c r="AF6" s="85"/>
      <c r="AG6" s="85"/>
      <c r="AH6" s="85"/>
      <c r="AI6" s="131"/>
      <c r="AJ6" s="85"/>
      <c r="AK6" s="131"/>
      <c r="AL6" s="19"/>
      <c r="AM6" s="19"/>
      <c r="AN6" s="19"/>
      <c r="AO6" s="19"/>
      <c r="AP6" s="20"/>
      <c r="AQ6" s="20"/>
      <c r="AR6" s="20"/>
    </row>
    <row r="7" customFormat="false" ht="24" hidden="false" customHeight="true" outlineLevel="0" collapsed="false">
      <c r="A7" s="12"/>
      <c r="B7" s="21" t="s">
        <v>9</v>
      </c>
      <c r="C7" s="22" t="s">
        <v>10</v>
      </c>
      <c r="D7" s="22"/>
      <c r="E7" s="22"/>
      <c r="F7" s="22"/>
      <c r="G7" s="23"/>
      <c r="H7" s="16"/>
      <c r="I7" s="24"/>
      <c r="J7" s="25" t="s">
        <v>11</v>
      </c>
      <c r="K7" s="25"/>
      <c r="L7" s="25" t="s">
        <v>12</v>
      </c>
      <c r="M7" s="25"/>
      <c r="N7" s="26" t="s">
        <v>13</v>
      </c>
      <c r="O7" s="26"/>
      <c r="P7" s="27" t="s">
        <v>14</v>
      </c>
      <c r="Q7" s="27"/>
      <c r="R7" s="28" t="s">
        <v>11</v>
      </c>
      <c r="S7" s="28"/>
      <c r="T7" s="28"/>
      <c r="U7" s="29" t="s">
        <v>15</v>
      </c>
      <c r="V7" s="29"/>
      <c r="W7" s="29"/>
      <c r="X7" s="30" t="s">
        <v>16</v>
      </c>
      <c r="Y7" s="31" t="s">
        <v>17</v>
      </c>
      <c r="Z7" s="32" t="s">
        <v>18</v>
      </c>
      <c r="AA7" s="33" t="s">
        <v>19</v>
      </c>
      <c r="AB7" s="34" t="s">
        <v>20</v>
      </c>
      <c r="AC7" s="34"/>
      <c r="AD7" s="34"/>
      <c r="AE7" s="35"/>
      <c r="AF7" s="85"/>
      <c r="AG7" s="85"/>
      <c r="AH7" s="85"/>
      <c r="AI7" s="131"/>
      <c r="AJ7" s="85"/>
      <c r="AK7" s="131"/>
      <c r="AL7" s="36"/>
      <c r="AM7" s="36"/>
      <c r="AN7" s="36"/>
      <c r="AO7" s="36"/>
      <c r="AP7" s="20"/>
      <c r="AQ7" s="20"/>
      <c r="AR7" s="20"/>
    </row>
    <row r="8" customFormat="false" ht="24" hidden="false" customHeight="true" outlineLevel="0" collapsed="false">
      <c r="A8" s="37"/>
      <c r="B8" s="38" t="s">
        <v>21</v>
      </c>
      <c r="C8" s="39" t="s">
        <v>22</v>
      </c>
      <c r="D8" s="40" t="s">
        <v>10</v>
      </c>
      <c r="E8" s="40"/>
      <c r="F8" s="40"/>
      <c r="G8" s="41"/>
      <c r="H8" s="16"/>
      <c r="I8" s="24"/>
      <c r="J8" s="42" t="s">
        <v>23</v>
      </c>
      <c r="K8" s="43" t="s">
        <v>24</v>
      </c>
      <c r="L8" s="42" t="s">
        <v>23</v>
      </c>
      <c r="M8" s="43" t="s">
        <v>24</v>
      </c>
      <c r="N8" s="44" t="s">
        <v>23</v>
      </c>
      <c r="O8" s="44" t="s">
        <v>24</v>
      </c>
      <c r="P8" s="44" t="s">
        <v>23</v>
      </c>
      <c r="Q8" s="45" t="s">
        <v>24</v>
      </c>
      <c r="R8" s="46" t="s">
        <v>25</v>
      </c>
      <c r="S8" s="47" t="s">
        <v>13</v>
      </c>
      <c r="T8" s="48" t="s">
        <v>14</v>
      </c>
      <c r="U8" s="49" t="s">
        <v>25</v>
      </c>
      <c r="V8" s="47" t="s">
        <v>13</v>
      </c>
      <c r="W8" s="50" t="s">
        <v>14</v>
      </c>
      <c r="X8" s="30"/>
      <c r="Y8" s="31"/>
      <c r="Z8" s="32"/>
      <c r="AA8" s="33"/>
      <c r="AB8" s="34"/>
      <c r="AC8" s="34"/>
      <c r="AD8" s="34"/>
      <c r="AE8" s="35"/>
      <c r="AF8" s="85"/>
      <c r="AG8" s="85"/>
      <c r="AH8" s="85"/>
      <c r="AI8" s="131"/>
      <c r="AJ8" s="85"/>
      <c r="AK8" s="131"/>
      <c r="AL8" s="36"/>
      <c r="AM8" s="36"/>
      <c r="AN8" s="36"/>
      <c r="AO8" s="36"/>
      <c r="AP8" s="20"/>
      <c r="AQ8" s="20"/>
      <c r="AR8" s="20"/>
    </row>
    <row r="9" customFormat="false" ht="24" hidden="false" customHeight="true" outlineLevel="0" collapsed="false">
      <c r="A9" s="12"/>
      <c r="B9" s="259"/>
      <c r="C9" s="52" t="s">
        <v>26</v>
      </c>
      <c r="D9" s="82">
        <f aca="false">+토지내역!B3</f>
      </c>
      <c r="E9" s="54">
        <f aca="false">+토지내역!C3</f>
      </c>
      <c r="F9" s="55">
        <f aca="false">E9*0.3025</f>
      </c>
      <c r="G9" s="56"/>
      <c r="H9" s="16"/>
      <c r="I9" s="57"/>
      <c r="J9" s="58"/>
      <c r="K9" s="59"/>
      <c r="L9" s="58"/>
      <c r="M9" s="59"/>
      <c r="N9" s="59"/>
      <c r="O9" s="60"/>
      <c r="P9" s="61"/>
      <c r="Q9" s="62"/>
      <c r="R9" s="63"/>
      <c r="S9" s="64"/>
      <c r="T9" s="65"/>
      <c r="U9" s="66"/>
      <c r="V9" s="67"/>
      <c r="W9" s="68"/>
      <c r="X9" s="66"/>
      <c r="Y9" s="67"/>
      <c r="Z9" s="68"/>
      <c r="AA9" s="69"/>
      <c r="AB9" s="70"/>
      <c r="AC9" s="70"/>
      <c r="AD9" s="70"/>
      <c r="AE9" s="71"/>
      <c r="AF9" s="85"/>
      <c r="AG9" s="85"/>
      <c r="AH9" s="85"/>
      <c r="AI9" s="131"/>
      <c r="AJ9" s="85"/>
      <c r="AK9" s="131"/>
      <c r="AL9" s="36"/>
      <c r="AM9" s="36"/>
      <c r="AN9" s="36"/>
      <c r="AO9" s="36"/>
      <c r="AP9" s="72"/>
      <c r="AQ9" s="73"/>
      <c r="AR9" s="73"/>
    </row>
    <row r="10" customFormat="false" ht="24" hidden="false" customHeight="true" outlineLevel="0" collapsed="false">
      <c r="A10" s="12"/>
      <c r="B10" s="259"/>
      <c r="C10" s="52"/>
      <c r="D10" s="82">
        <f aca="false">+토지내역!B4</f>
      </c>
      <c r="E10" s="54">
        <f aca="false">+토지내역!C4</f>
      </c>
      <c r="F10" s="55">
        <f aca="false">E10*0.3025</f>
      </c>
      <c r="G10" s="56"/>
      <c r="H10" s="16"/>
      <c r="I10" s="57"/>
      <c r="J10" s="74"/>
      <c r="K10" s="75"/>
      <c r="L10" s="74"/>
      <c r="M10" s="75"/>
      <c r="N10" s="75"/>
      <c r="O10" s="60"/>
      <c r="P10" s="61"/>
      <c r="Q10" s="62"/>
      <c r="R10" s="59"/>
      <c r="S10" s="64"/>
      <c r="T10" s="76"/>
      <c r="U10" s="74"/>
      <c r="V10" s="77"/>
      <c r="W10" s="78"/>
      <c r="X10" s="58"/>
      <c r="Y10" s="64"/>
      <c r="Z10" s="79"/>
      <c r="AA10" s="80"/>
      <c r="AB10" s="81"/>
      <c r="AC10" s="81"/>
      <c r="AD10" s="81"/>
      <c r="AE10" s="71"/>
      <c r="AF10" s="85"/>
      <c r="AG10" s="85"/>
      <c r="AH10" s="85"/>
      <c r="AI10" s="131"/>
      <c r="AJ10" s="85"/>
      <c r="AK10" s="131"/>
      <c r="AL10" s="36"/>
      <c r="AM10" s="36"/>
      <c r="AN10" s="36"/>
      <c r="AO10" s="36"/>
      <c r="AP10" s="72"/>
      <c r="AQ10" s="73"/>
      <c r="AR10" s="73"/>
    </row>
    <row r="11" customFormat="false" ht="24" hidden="false" customHeight="true" outlineLevel="0" collapsed="false">
      <c r="A11" s="12"/>
      <c r="B11" s="259"/>
      <c r="C11" s="52"/>
      <c r="D11" s="82">
        <f aca="false">+토지내역!B5</f>
      </c>
      <c r="E11" s="54">
        <f aca="false">+토지내역!C5</f>
      </c>
      <c r="F11" s="55">
        <f aca="false">E11*0.3025</f>
      </c>
      <c r="G11" s="56"/>
      <c r="H11" s="16"/>
      <c r="I11" s="57"/>
      <c r="J11" s="74"/>
      <c r="K11" s="75"/>
      <c r="L11" s="74"/>
      <c r="M11" s="75"/>
      <c r="N11" s="75"/>
      <c r="O11" s="60"/>
      <c r="P11" s="61"/>
      <c r="Q11" s="62"/>
      <c r="R11" s="59"/>
      <c r="S11" s="64"/>
      <c r="T11" s="76"/>
      <c r="U11" s="74"/>
      <c r="V11" s="77"/>
      <c r="W11" s="78"/>
      <c r="X11" s="58"/>
      <c r="Y11" s="64"/>
      <c r="Z11" s="79"/>
      <c r="AA11" s="80"/>
      <c r="AB11" s="81"/>
      <c r="AC11" s="81"/>
      <c r="AD11" s="81"/>
      <c r="AE11" s="71"/>
      <c r="AF11" s="85"/>
      <c r="AG11" s="85"/>
      <c r="AH11" s="85"/>
      <c r="AI11" s="131"/>
      <c r="AJ11" s="85"/>
      <c r="AK11" s="131"/>
      <c r="AL11" s="36"/>
      <c r="AM11" s="36"/>
      <c r="AN11" s="36"/>
      <c r="AO11" s="36"/>
      <c r="AP11" s="72"/>
      <c r="AQ11" s="73"/>
      <c r="AR11" s="73"/>
    </row>
    <row r="12" customFormat="false" ht="24" hidden="false" customHeight="true" outlineLevel="0" collapsed="false">
      <c r="A12" s="12"/>
      <c r="B12" s="259"/>
      <c r="C12" s="52"/>
      <c r="D12" s="82">
        <f aca="false">+토지내역!B6</f>
      </c>
      <c r="E12" s="54">
        <f aca="false">+토지내역!C6</f>
      </c>
      <c r="F12" s="55">
        <f aca="false">E12*0.3025</f>
      </c>
      <c r="G12" s="56"/>
      <c r="H12" s="16"/>
      <c r="I12" s="57"/>
      <c r="J12" s="74"/>
      <c r="K12" s="75"/>
      <c r="L12" s="74"/>
      <c r="M12" s="75"/>
      <c r="N12" s="75"/>
      <c r="O12" s="60"/>
      <c r="P12" s="61"/>
      <c r="Q12" s="62"/>
      <c r="R12" s="59"/>
      <c r="S12" s="64"/>
      <c r="T12" s="76"/>
      <c r="U12" s="74"/>
      <c r="V12" s="77"/>
      <c r="W12" s="78"/>
      <c r="X12" s="58"/>
      <c r="Y12" s="64"/>
      <c r="Z12" s="79"/>
      <c r="AA12" s="80"/>
      <c r="AB12" s="81"/>
      <c r="AC12" s="81"/>
      <c r="AD12" s="81"/>
      <c r="AE12" s="71"/>
      <c r="AF12" s="85"/>
      <c r="AG12" s="85"/>
      <c r="AH12" s="85"/>
      <c r="AI12" s="131"/>
      <c r="AJ12" s="85"/>
      <c r="AK12" s="131"/>
      <c r="AL12" s="36"/>
      <c r="AM12" s="36"/>
      <c r="AN12" s="36"/>
      <c r="AO12" s="36"/>
      <c r="AP12" s="72"/>
      <c r="AQ12" s="73"/>
      <c r="AR12" s="73"/>
    </row>
    <row r="13" customFormat="false" ht="24" hidden="false" customHeight="true" outlineLevel="0" collapsed="false">
      <c r="A13" s="12"/>
      <c r="B13" s="259"/>
      <c r="C13" s="52"/>
      <c r="D13" s="82" t="s">
        <v>27</v>
      </c>
      <c r="E13" s="54">
        <f aca="false">+토지내역!C28</f>
      </c>
      <c r="F13" s="55">
        <f aca="false">E13*0.3025</f>
      </c>
      <c r="G13" s="56"/>
      <c r="H13" s="16"/>
      <c r="I13" s="57"/>
      <c r="J13" s="74"/>
      <c r="K13" s="75"/>
      <c r="L13" s="74"/>
      <c r="M13" s="75"/>
      <c r="N13" s="75"/>
      <c r="O13" s="60"/>
      <c r="P13" s="61"/>
      <c r="Q13" s="62"/>
      <c r="R13" s="75"/>
      <c r="S13" s="77"/>
      <c r="T13" s="76"/>
      <c r="U13" s="74"/>
      <c r="V13" s="77"/>
      <c r="W13" s="78"/>
      <c r="X13" s="58"/>
      <c r="Y13" s="64"/>
      <c r="Z13" s="79"/>
      <c r="AA13" s="80"/>
      <c r="AB13" s="83"/>
      <c r="AC13" s="83"/>
      <c r="AD13" s="83"/>
      <c r="AE13" s="84"/>
      <c r="AF13" s="85" t="s">
        <v>28</v>
      </c>
      <c r="AG13" s="85"/>
      <c r="AH13" s="85"/>
      <c r="AI13" s="131"/>
      <c r="AJ13" s="85"/>
      <c r="AK13" s="131"/>
      <c r="AL13" s="36"/>
      <c r="AM13" s="36"/>
      <c r="AN13" s="36"/>
      <c r="AO13" s="36"/>
      <c r="AP13" s="20"/>
      <c r="AQ13" s="86"/>
      <c r="AR13" s="86"/>
    </row>
    <row r="14" customFormat="false" ht="24" hidden="false" customHeight="true" outlineLevel="0" collapsed="false">
      <c r="A14" s="12"/>
      <c r="B14" s="259"/>
      <c r="C14" s="52"/>
      <c r="D14" s="82" t="s">
        <v>27</v>
      </c>
      <c r="E14" s="54">
        <f aca="false">+토지내역!C26</f>
      </c>
      <c r="F14" s="55">
        <f aca="false">E14*0.3025</f>
      </c>
      <c r="G14" s="56"/>
      <c r="H14" s="16"/>
      <c r="I14" s="57"/>
      <c r="J14" s="87"/>
      <c r="K14" s="88"/>
      <c r="L14" s="87"/>
      <c r="M14" s="88"/>
      <c r="N14" s="88"/>
      <c r="O14" s="89"/>
      <c r="P14" s="90"/>
      <c r="Q14" s="91"/>
      <c r="R14" s="75"/>
      <c r="S14" s="77"/>
      <c r="T14" s="92"/>
      <c r="U14" s="74"/>
      <c r="V14" s="93"/>
      <c r="W14" s="94"/>
      <c r="X14" s="74"/>
      <c r="Y14" s="77"/>
      <c r="Z14" s="78"/>
      <c r="AA14" s="95"/>
      <c r="AB14" s="96"/>
      <c r="AC14" s="97"/>
      <c r="AD14" s="97"/>
      <c r="AE14" s="71"/>
      <c r="AF14" s="13"/>
      <c r="AG14" s="13">
        <f aca="false">L25+L26</f>
      </c>
      <c r="AH14" s="13">
        <f aca="false">+AG14/65</f>
      </c>
      <c r="AI14" s="13">
        <f aca="false">+AF14+AH14</f>
      </c>
      <c r="AJ14" s="13"/>
      <c r="AK14" s="131"/>
      <c r="AL14" s="98"/>
      <c r="AM14" s="98"/>
      <c r="AN14" s="98"/>
      <c r="AO14" s="98"/>
      <c r="AP14" s="99"/>
      <c r="AQ14" s="85"/>
    </row>
    <row r="15" customFormat="false" ht="24" hidden="false" customHeight="true" outlineLevel="0" collapsed="false">
      <c r="A15" s="12"/>
      <c r="B15" s="259"/>
      <c r="C15" s="52"/>
      <c r="D15" s="82" t="s">
        <v>19</v>
      </c>
      <c r="E15" s="54">
        <f aca="false">+E9+E10-E13-E14</f>
      </c>
      <c r="F15" s="55">
        <f aca="false">E15*0.3025</f>
      </c>
      <c r="G15" s="56"/>
      <c r="H15" s="16"/>
      <c r="I15" s="57"/>
      <c r="J15" s="87"/>
      <c r="K15" s="88"/>
      <c r="L15" s="87"/>
      <c r="M15" s="88"/>
      <c r="N15" s="88"/>
      <c r="O15" s="89"/>
      <c r="P15" s="90"/>
      <c r="Q15" s="91"/>
      <c r="R15" s="75"/>
      <c r="S15" s="77"/>
      <c r="T15" s="92"/>
      <c r="U15" s="74"/>
      <c r="V15" s="93"/>
      <c r="W15" s="94"/>
      <c r="X15" s="74"/>
      <c r="Y15" s="77"/>
      <c r="Z15" s="78"/>
      <c r="AA15" s="95"/>
      <c r="AB15" s="96"/>
      <c r="AC15" s="97"/>
      <c r="AD15" s="97"/>
      <c r="AE15" s="71"/>
      <c r="AF15" s="85"/>
      <c r="AG15" s="85"/>
      <c r="AH15" s="85"/>
      <c r="AI15" s="131"/>
      <c r="AJ15" s="85"/>
      <c r="AK15" s="131"/>
      <c r="AL15" s="98"/>
      <c r="AM15" s="98"/>
      <c r="AN15" s="98"/>
      <c r="AO15" s="98"/>
      <c r="AP15" s="99"/>
      <c r="AQ15" s="85"/>
    </row>
    <row r="16" customFormat="false" ht="24" hidden="false" customHeight="true" outlineLevel="0" collapsed="false">
      <c r="A16" s="12"/>
      <c r="B16" s="259"/>
      <c r="C16" s="100" t="s">
        <v>29</v>
      </c>
      <c r="D16" s="101" t="str">
        <f aca="false">+Sheet1!E4</f>
      </c>
      <c r="E16" s="101"/>
      <c r="F16" s="101"/>
      <c r="G16" s="101"/>
      <c r="H16" s="16"/>
      <c r="I16" s="57"/>
      <c r="J16" s="87"/>
      <c r="K16" s="88"/>
      <c r="L16" s="87"/>
      <c r="M16" s="88"/>
      <c r="N16" s="88"/>
      <c r="O16" s="89"/>
      <c r="P16" s="90"/>
      <c r="Q16" s="91"/>
      <c r="R16" s="75"/>
      <c r="S16" s="77"/>
      <c r="T16" s="92"/>
      <c r="U16" s="74"/>
      <c r="V16" s="93"/>
      <c r="W16" s="94"/>
      <c r="X16" s="74"/>
      <c r="Y16" s="77"/>
      <c r="Z16" s="78"/>
      <c r="AA16" s="95"/>
      <c r="AB16" s="96"/>
      <c r="AC16" s="97"/>
      <c r="AD16" s="97"/>
      <c r="AE16" s="71"/>
      <c r="AF16" s="85"/>
      <c r="AG16" s="85"/>
      <c r="AH16" s="102"/>
      <c r="AI16" s="103"/>
      <c r="AJ16" s="102"/>
      <c r="AK16" s="103"/>
      <c r="AL16" s="98"/>
      <c r="AM16" s="98"/>
      <c r="AN16" s="98"/>
      <c r="AO16" s="98"/>
      <c r="AP16" s="85"/>
      <c r="AQ16" s="85"/>
    </row>
    <row r="17" customFormat="false" ht="24" hidden="false" customHeight="true" outlineLevel="0" collapsed="false">
      <c r="A17" s="12"/>
      <c r="B17" s="104"/>
      <c r="C17" s="105" t="s">
        <v>30</v>
      </c>
      <c r="D17" s="106"/>
      <c r="E17" s="107"/>
      <c r="F17" s="107"/>
      <c r="G17" s="107"/>
      <c r="H17" s="16"/>
      <c r="I17" s="57"/>
      <c r="J17" s="108"/>
      <c r="K17" s="109"/>
      <c r="L17" s="108"/>
      <c r="M17" s="109"/>
      <c r="N17" s="109"/>
      <c r="O17" s="110"/>
      <c r="P17" s="90"/>
      <c r="Q17" s="91"/>
      <c r="R17" s="75"/>
      <c r="S17" s="77"/>
      <c r="T17" s="92"/>
      <c r="U17" s="74"/>
      <c r="V17" s="93"/>
      <c r="W17" s="94"/>
      <c r="X17" s="74"/>
      <c r="Y17" s="77"/>
      <c r="Z17" s="78"/>
      <c r="AA17" s="95"/>
      <c r="AB17" s="96"/>
      <c r="AC17" s="97"/>
      <c r="AD17" s="97"/>
      <c r="AE17" s="71"/>
      <c r="AF17" s="85"/>
      <c r="AG17" s="85"/>
      <c r="AH17" s="85"/>
      <c r="AI17" s="131"/>
      <c r="AJ17" s="85"/>
      <c r="AK17" s="131"/>
      <c r="AL17" s="98"/>
      <c r="AM17" s="98"/>
      <c r="AN17" s="98"/>
      <c r="AO17" s="98"/>
      <c r="AP17" s="85"/>
      <c r="AQ17" s="85"/>
    </row>
    <row r="18" customFormat="false" ht="24" hidden="false" customHeight="true" outlineLevel="0" collapsed="false">
      <c r="A18" s="12"/>
      <c r="B18" s="38" t="s">
        <v>31</v>
      </c>
      <c r="C18" s="39" t="s">
        <v>32</v>
      </c>
      <c r="D18" s="111" t="s">
        <v>33</v>
      </c>
      <c r="E18" s="111"/>
      <c r="F18" s="111"/>
      <c r="G18" s="111"/>
      <c r="H18" s="16"/>
      <c r="I18" s="57"/>
      <c r="J18" s="87"/>
      <c r="K18" s="88"/>
      <c r="L18" s="87"/>
      <c r="M18" s="88"/>
      <c r="N18" s="88"/>
      <c r="O18" s="89"/>
      <c r="P18" s="90"/>
      <c r="Q18" s="91"/>
      <c r="R18" s="75"/>
      <c r="S18" s="77"/>
      <c r="T18" s="92"/>
      <c r="U18" s="74"/>
      <c r="V18" s="93"/>
      <c r="W18" s="94"/>
      <c r="X18" s="74"/>
      <c r="Y18" s="77"/>
      <c r="Z18" s="78"/>
      <c r="AA18" s="95"/>
      <c r="AB18" s="96"/>
      <c r="AC18" s="97"/>
      <c r="AD18" s="97"/>
      <c r="AE18" s="71"/>
      <c r="AF18" s="85"/>
      <c r="AG18" s="85"/>
      <c r="AH18" s="85"/>
      <c r="AI18" s="131"/>
      <c r="AJ18" s="112"/>
      <c r="AK18" s="113"/>
      <c r="AL18" s="98"/>
      <c r="AM18" s="98"/>
      <c r="AN18" s="98"/>
      <c r="AO18" s="98"/>
      <c r="AP18" s="85"/>
      <c r="AQ18" s="85"/>
    </row>
    <row r="19" customFormat="false" ht="24" hidden="false" customHeight="true" outlineLevel="0" collapsed="false">
      <c r="A19" s="12"/>
      <c r="B19" s="259"/>
      <c r="C19" s="100" t="s">
        <v>34</v>
      </c>
      <c r="D19" s="114" t="s">
        <v>35</v>
      </c>
      <c r="E19" s="114"/>
      <c r="F19" s="114"/>
      <c r="G19" s="115"/>
      <c r="H19" s="16"/>
      <c r="I19" s="57"/>
      <c r="J19" s="87"/>
      <c r="K19" s="88"/>
      <c r="L19" s="87"/>
      <c r="M19" s="88"/>
      <c r="N19" s="88"/>
      <c r="O19" s="89"/>
      <c r="P19" s="90"/>
      <c r="Q19" s="91"/>
      <c r="R19" s="75"/>
      <c r="S19" s="77"/>
      <c r="T19" s="92"/>
      <c r="U19" s="74"/>
      <c r="V19" s="93"/>
      <c r="W19" s="94"/>
      <c r="X19" s="74"/>
      <c r="Y19" s="77"/>
      <c r="Z19" s="78"/>
      <c r="AA19" s="95"/>
      <c r="AB19" s="96"/>
      <c r="AC19" s="97"/>
      <c r="AD19" s="97"/>
      <c r="AE19" s="71"/>
      <c r="AF19" s="85"/>
      <c r="AG19" s="85"/>
      <c r="AH19" s="116"/>
      <c r="AI19" s="117"/>
      <c r="AJ19" s="116"/>
      <c r="AK19" s="117"/>
      <c r="AL19" s="102"/>
      <c r="AM19" s="102"/>
      <c r="AN19" s="102"/>
      <c r="AO19" s="102"/>
      <c r="AP19" s="85"/>
      <c r="AQ19" s="85"/>
    </row>
    <row r="20" customFormat="false" ht="24" hidden="false" customHeight="true" outlineLevel="0" collapsed="false">
      <c r="A20" s="12"/>
      <c r="B20" s="259"/>
      <c r="C20" s="100" t="s">
        <v>36</v>
      </c>
      <c r="D20" s="118"/>
      <c r="E20" s="119">
        <f aca="false">D20*0.3025</f>
      </c>
      <c r="F20" s="120"/>
      <c r="G20" s="120"/>
      <c r="H20" s="16"/>
      <c r="I20" s="57"/>
      <c r="J20" s="87"/>
      <c r="K20" s="88"/>
      <c r="L20" s="87"/>
      <c r="M20" s="88"/>
      <c r="N20" s="88"/>
      <c r="O20" s="89"/>
      <c r="P20" s="90"/>
      <c r="Q20" s="91"/>
      <c r="R20" s="75"/>
      <c r="S20" s="77"/>
      <c r="T20" s="92"/>
      <c r="U20" s="74"/>
      <c r="V20" s="93"/>
      <c r="W20" s="94"/>
      <c r="X20" s="74"/>
      <c r="Y20" s="77"/>
      <c r="Z20" s="78"/>
      <c r="AA20" s="95"/>
      <c r="AB20" s="96"/>
      <c r="AC20" s="97"/>
      <c r="AD20" s="97"/>
      <c r="AE20" s="71"/>
      <c r="AF20" s="85"/>
      <c r="AG20" s="85"/>
      <c r="AH20" s="85"/>
      <c r="AI20" s="131"/>
      <c r="AJ20" s="85"/>
      <c r="AK20" s="131"/>
      <c r="AL20" s="85"/>
      <c r="AM20" s="85"/>
      <c r="AN20" s="85"/>
      <c r="AO20" s="85"/>
      <c r="AP20" s="85"/>
      <c r="AQ20" s="85"/>
    </row>
    <row r="21" customFormat="false" ht="24" hidden="false" customHeight="true" outlineLevel="0" collapsed="false">
      <c r="A21" s="12"/>
      <c r="B21" s="259"/>
      <c r="C21" s="121" t="s">
        <v>37</v>
      </c>
      <c r="D21" s="122" t="s">
        <v>38</v>
      </c>
      <c r="E21" s="123">
        <f aca="false">AA29</f>
      </c>
      <c r="F21" s="124">
        <f aca="false">E21*0.3025</f>
      </c>
      <c r="G21" s="125"/>
      <c r="H21" s="16"/>
      <c r="I21" s="57"/>
      <c r="J21" s="87"/>
      <c r="K21" s="88"/>
      <c r="L21" s="87"/>
      <c r="M21" s="88"/>
      <c r="N21" s="88"/>
      <c r="O21" s="89"/>
      <c r="P21" s="90"/>
      <c r="Q21" s="91"/>
      <c r="R21" s="75"/>
      <c r="S21" s="77"/>
      <c r="T21" s="92"/>
      <c r="U21" s="74"/>
      <c r="V21" s="93"/>
      <c r="W21" s="94"/>
      <c r="X21" s="74"/>
      <c r="Y21" s="77"/>
      <c r="Z21" s="78"/>
      <c r="AA21" s="95"/>
      <c r="AB21" s="96"/>
      <c r="AC21" s="97"/>
      <c r="AD21" s="97"/>
      <c r="AE21" s="71"/>
      <c r="AF21" s="85"/>
      <c r="AG21" s="85"/>
      <c r="AH21" s="85"/>
      <c r="AI21" s="131"/>
      <c r="AJ21" s="85"/>
      <c r="AK21" s="131"/>
      <c r="AL21" s="98"/>
      <c r="AM21" s="98"/>
      <c r="AN21" s="98"/>
      <c r="AO21" s="98"/>
      <c r="AP21" s="85"/>
      <c r="AQ21" s="85"/>
    </row>
    <row r="22" customFormat="false" ht="24" hidden="false" customHeight="true" outlineLevel="0" collapsed="false">
      <c r="A22" s="12"/>
      <c r="B22" s="259"/>
      <c r="C22" s="121"/>
      <c r="D22" s="122" t="s">
        <v>39</v>
      </c>
      <c r="E22" s="123">
        <f aca="false">AA36</f>
      </c>
      <c r="F22" s="124">
        <f aca="false">E22*0.3025</f>
      </c>
      <c r="G22" s="125"/>
      <c r="H22" s="16"/>
      <c r="I22" s="57"/>
      <c r="J22" s="87"/>
      <c r="K22" s="88"/>
      <c r="L22" s="87"/>
      <c r="M22" s="88"/>
      <c r="N22" s="126"/>
      <c r="O22" s="127"/>
      <c r="P22" s="90">
        <f aca="false">J22+N22</f>
      </c>
      <c r="Q22" s="91"/>
      <c r="R22" s="75"/>
      <c r="S22" s="77"/>
      <c r="T22" s="92"/>
      <c r="U22" s="74"/>
      <c r="V22" s="93"/>
      <c r="W22" s="94"/>
      <c r="X22" s="74"/>
      <c r="Y22" s="77"/>
      <c r="Z22" s="78"/>
      <c r="AA22" s="95"/>
      <c r="AB22" s="96"/>
      <c r="AC22" s="97"/>
      <c r="AD22" s="97"/>
      <c r="AE22" s="71"/>
      <c r="AF22" s="85"/>
      <c r="AG22" s="85"/>
      <c r="AH22" s="85"/>
      <c r="AI22" s="131"/>
      <c r="AJ22" s="85"/>
      <c r="AK22" s="131"/>
      <c r="AL22" s="98"/>
      <c r="AM22" s="98"/>
      <c r="AN22" s="98"/>
      <c r="AO22" s="98"/>
      <c r="AP22" s="85"/>
      <c r="AQ22" s="85"/>
    </row>
    <row r="23" customFormat="false" ht="24" hidden="false" customHeight="true" outlineLevel="0" collapsed="false">
      <c r="A23" s="12"/>
      <c r="B23" s="259"/>
      <c r="C23" s="121"/>
      <c r="D23" s="128" t="s">
        <v>19</v>
      </c>
      <c r="E23" s="129">
        <f aca="false">SUM(E21:E22)</f>
      </c>
      <c r="F23" s="124">
        <f aca="false">E23*0.3025</f>
      </c>
      <c r="G23" s="130"/>
      <c r="H23" s="16"/>
      <c r="I23" s="57"/>
      <c r="J23" s="87"/>
      <c r="K23" s="88"/>
      <c r="L23" s="87"/>
      <c r="M23" s="88"/>
      <c r="N23" s="126"/>
      <c r="O23" s="127"/>
      <c r="P23" s="90">
        <f aca="false">J23+N23</f>
      </c>
      <c r="Q23" s="91"/>
      <c r="R23" s="75"/>
      <c r="S23" s="77"/>
      <c r="T23" s="92"/>
      <c r="U23" s="74"/>
      <c r="V23" s="93"/>
      <c r="W23" s="94"/>
      <c r="X23" s="74"/>
      <c r="Y23" s="77"/>
      <c r="Z23" s="78"/>
      <c r="AA23" s="95"/>
      <c r="AB23" s="96"/>
      <c r="AC23" s="97"/>
      <c r="AD23" s="97"/>
      <c r="AE23" s="71"/>
      <c r="AF23" s="131" t="s">
        <v>40</v>
      </c>
      <c r="AG23" s="131" t="s">
        <v>25</v>
      </c>
      <c r="AH23" s="131"/>
      <c r="AI23" s="131"/>
      <c r="AJ23" s="131"/>
      <c r="AK23" s="131"/>
      <c r="AL23" s="133"/>
      <c r="AM23" s="133"/>
      <c r="AN23" s="133"/>
      <c r="AO23" s="133"/>
      <c r="AP23" s="131"/>
      <c r="AQ23" s="131"/>
      <c r="AR23" s="133" t="s">
        <v>41</v>
      </c>
    </row>
    <row r="24" customFormat="false" ht="24" hidden="false" customHeight="true" outlineLevel="0" collapsed="false">
      <c r="A24" s="12"/>
      <c r="B24" s="259"/>
      <c r="C24" s="134" t="s">
        <v>42</v>
      </c>
      <c r="D24" s="135">
        <f aca="false">D20/$E$15</f>
      </c>
      <c r="E24" s="136" t="s">
        <v>43</v>
      </c>
      <c r="F24" s="137"/>
      <c r="G24" s="138"/>
      <c r="H24" s="16"/>
      <c r="I24" s="57"/>
      <c r="J24" s="87"/>
      <c r="K24" s="88"/>
      <c r="L24" s="87"/>
      <c r="M24" s="88"/>
      <c r="N24" s="126"/>
      <c r="O24" s="127"/>
      <c r="P24" s="90">
        <f aca="false">J24+N24</f>
      </c>
      <c r="Q24" s="91"/>
      <c r="R24" s="75"/>
      <c r="S24" s="77"/>
      <c r="T24" s="92"/>
      <c r="U24" s="139"/>
      <c r="V24" s="140"/>
      <c r="W24" s="94"/>
      <c r="X24" s="141"/>
      <c r="Y24" s="142"/>
      <c r="Z24" s="143"/>
      <c r="AA24" s="144"/>
      <c r="AB24" s="96"/>
      <c r="AC24" s="97"/>
      <c r="AD24" s="97"/>
      <c r="AE24" s="71" t="s">
        <v>44</v>
      </c>
      <c r="AF24" s="85"/>
      <c r="AG24" s="85"/>
      <c r="AH24" s="85"/>
      <c r="AI24" s="131"/>
      <c r="AJ24" s="85"/>
      <c r="AK24" s="131"/>
      <c r="AL24" s="98"/>
      <c r="AM24" s="98"/>
      <c r="AN24" s="98"/>
      <c r="AO24" s="98"/>
      <c r="AP24" s="85">
        <f aca="false">SUM(AG24:AO24)</f>
      </c>
      <c r="AQ24" s="131"/>
      <c r="AR24" s="98">
        <f aca="false">+AF24-AP24</f>
      </c>
      <c r="AS24" s="2"/>
      <c r="AT24" s="2">
        <f aca="false">+AR24*AS24</f>
      </c>
    </row>
    <row r="25" customFormat="false" ht="24" hidden="false" customHeight="true" outlineLevel="0" collapsed="false">
      <c r="A25" s="5"/>
      <c r="B25" s="259"/>
      <c r="C25" s="145" t="s">
        <v>45</v>
      </c>
      <c r="D25" s="146">
        <f aca="false">(P29)/$E$15</f>
      </c>
      <c r="E25" s="147" t="s">
        <v>43</v>
      </c>
      <c r="F25" s="148"/>
      <c r="G25" s="149"/>
      <c r="H25" s="16"/>
      <c r="I25" s="57" t="s">
        <v>46</v>
      </c>
      <c r="J25" s="87"/>
      <c r="K25" s="88">
        <f aca="false">+J25*0.3025</f>
      </c>
      <c r="L25" s="87"/>
      <c r="M25" s="88">
        <f aca="false">+L25*0.3025</f>
      </c>
      <c r="N25" s="88"/>
      <c r="O25" s="88">
        <f aca="false">+N25*0.3025</f>
      </c>
      <c r="P25" s="150">
        <f aca="false">J25+N25+L25</f>
      </c>
      <c r="Q25" s="151">
        <f aca="false">+P25*0.3025</f>
      </c>
      <c r="R25" s="126"/>
      <c r="S25" s="152"/>
      <c r="T25" s="153">
        <f aca="false">R25+S25</f>
      </c>
      <c r="U25" s="139"/>
      <c r="V25" s="140"/>
      <c r="W25" s="94">
        <f aca="false">+U25+V25</f>
      </c>
      <c r="X25" s="141"/>
      <c r="Y25" s="142"/>
      <c r="Z25" s="143"/>
      <c r="AA25" s="144">
        <f aca="false">+SUM(P25,T25,W25,X25,Y25,Z25)</f>
      </c>
      <c r="AB25" s="154" t="s">
        <v>47</v>
      </c>
      <c r="AC25" s="154"/>
      <c r="AD25" s="154"/>
      <c r="AE25" s="71"/>
      <c r="AF25" s="85"/>
      <c r="AG25" s="131"/>
      <c r="AH25" s="85"/>
      <c r="AI25" s="131"/>
      <c r="AJ25" s="85"/>
      <c r="AK25" s="131"/>
      <c r="AL25" s="98"/>
      <c r="AM25" s="98"/>
      <c r="AN25" s="98"/>
      <c r="AO25" s="98"/>
      <c r="AP25" s="85"/>
      <c r="AQ25" s="131"/>
      <c r="AR25" s="98"/>
    </row>
    <row r="26" customFormat="false" ht="24" hidden="false" customHeight="true" outlineLevel="0" collapsed="false">
      <c r="A26" s="5"/>
      <c r="B26" s="38" t="s">
        <v>48</v>
      </c>
      <c r="C26" s="155" t="s">
        <v>49</v>
      </c>
      <c r="D26" s="156" t="s">
        <v>50</v>
      </c>
      <c r="E26" s="157"/>
      <c r="F26" s="158"/>
      <c r="G26" s="159">
        <f aca="false">AI14</f>
      </c>
      <c r="H26" s="16"/>
      <c r="I26" s="57"/>
      <c r="J26" s="87"/>
      <c r="K26" s="88">
        <f aca="false">+J26*0.3025</f>
      </c>
      <c r="L26" s="87"/>
      <c r="M26" s="88">
        <f aca="false">+L26*0.3025</f>
      </c>
      <c r="N26" s="88"/>
      <c r="O26" s="88">
        <f aca="false">+N26*0.3025</f>
      </c>
      <c r="P26" s="150">
        <f aca="false">J26+N26+L26</f>
      </c>
      <c r="Q26" s="91">
        <f aca="false">+P26*0.3025</f>
      </c>
      <c r="R26" s="126"/>
      <c r="S26" s="152"/>
      <c r="T26" s="153">
        <f aca="false">R26+S26</f>
      </c>
      <c r="U26" s="74"/>
      <c r="V26" s="93"/>
      <c r="W26" s="94">
        <f aca="false">+U26+V26</f>
      </c>
      <c r="X26" s="74"/>
      <c r="Y26" s="77"/>
      <c r="Z26" s="78"/>
      <c r="AA26" s="144">
        <f aca="false">+SUM(P26,T26,W26,X26,Y26,Z26)</f>
      </c>
      <c r="AB26" s="154"/>
      <c r="AC26" s="154"/>
      <c r="AD26" s="154"/>
      <c r="AE26" s="71"/>
      <c r="AF26" s="85"/>
      <c r="AG26" s="131"/>
      <c r="AH26" s="85"/>
      <c r="AI26" s="131"/>
      <c r="AJ26" s="85"/>
      <c r="AK26" s="131"/>
      <c r="AL26" s="160"/>
      <c r="AM26" s="160"/>
      <c r="AN26" s="160"/>
      <c r="AO26" s="160"/>
      <c r="AP26" s="85"/>
      <c r="AQ26" s="131"/>
      <c r="AR26" s="98"/>
    </row>
    <row r="27" customFormat="false" ht="24" hidden="false" customHeight="true" outlineLevel="0" collapsed="false">
      <c r="A27" s="12"/>
      <c r="B27" s="259"/>
      <c r="C27" s="161"/>
      <c r="D27" s="162" t="s">
        <v>51</v>
      </c>
      <c r="E27" s="163">
        <f aca="false">G63</f>
      </c>
      <c r="F27" s="164"/>
      <c r="G27" s="165"/>
      <c r="H27" s="166"/>
      <c r="I27" s="57"/>
      <c r="J27" s="87"/>
      <c r="K27" s="88">
        <f aca="false">+J27*0.3025</f>
      </c>
      <c r="L27" s="87"/>
      <c r="M27" s="88">
        <f aca="false">+L27*0.3025</f>
      </c>
      <c r="N27" s="88"/>
      <c r="O27" s="88">
        <f aca="false">+N27*0.3025</f>
      </c>
      <c r="P27" s="150">
        <f aca="false">J27+N27+L27</f>
      </c>
      <c r="Q27" s="91">
        <f aca="false">+P27*0.3025</f>
      </c>
      <c r="R27" s="126"/>
      <c r="S27" s="152"/>
      <c r="T27" s="153">
        <f aca="false">R27+S27</f>
      </c>
      <c r="U27" s="139"/>
      <c r="V27" s="140"/>
      <c r="W27" s="167">
        <f aca="false">+U27+V27</f>
      </c>
      <c r="X27" s="74"/>
      <c r="Y27" s="77"/>
      <c r="Z27" s="78"/>
      <c r="AA27" s="144">
        <f aca="false">+SUM(P27,T27,W27,X27,Y27,Z27)</f>
      </c>
      <c r="AB27" s="154" t="s">
        <v>47</v>
      </c>
      <c r="AC27" s="154"/>
      <c r="AD27" s="154"/>
      <c r="AE27" s="71"/>
      <c r="AF27" s="85"/>
      <c r="AG27" s="131"/>
      <c r="AH27" s="85"/>
      <c r="AI27" s="131"/>
      <c r="AJ27" s="85"/>
      <c r="AK27" s="131"/>
      <c r="AL27" s="160"/>
      <c r="AM27" s="160"/>
      <c r="AN27" s="160"/>
      <c r="AO27" s="160"/>
      <c r="AP27" s="85"/>
      <c r="AQ27" s="131"/>
      <c r="AR27" s="160"/>
    </row>
    <row r="28" customFormat="false" ht="24" hidden="false" customHeight="true" outlineLevel="0" collapsed="false">
      <c r="A28" s="12"/>
      <c r="B28" s="259"/>
      <c r="C28" s="161"/>
      <c r="D28" s="168"/>
      <c r="E28" s="163"/>
      <c r="F28" s="164"/>
      <c r="G28" s="165"/>
      <c r="H28" s="166"/>
      <c r="I28" s="57"/>
      <c r="J28" s="169"/>
      <c r="K28" s="88">
        <f aca="false">+J28*0.3025</f>
      </c>
      <c r="L28" s="169"/>
      <c r="M28" s="88">
        <f aca="false">+L28*0.3025</f>
      </c>
      <c r="N28" s="88"/>
      <c r="O28" s="88">
        <f aca="false">+N28*0.3025</f>
      </c>
      <c r="P28" s="150">
        <f aca="false">J28+N28+L28</f>
      </c>
      <c r="Q28" s="91">
        <f aca="false">+P28*0.3025</f>
      </c>
      <c r="R28" s="126"/>
      <c r="S28" s="152"/>
      <c r="T28" s="153">
        <f aca="false">R28+S28</f>
      </c>
      <c r="U28" s="139"/>
      <c r="V28" s="140"/>
      <c r="W28" s="167">
        <f aca="false">+U28+V28</f>
      </c>
      <c r="X28" s="74"/>
      <c r="Y28" s="77"/>
      <c r="Z28" s="78"/>
      <c r="AA28" s="144">
        <f aca="false">+SUM(P28,T28,W28,X28,Y28,Z28)</f>
      </c>
      <c r="AB28" s="431" t="s">
        <v>11</v>
      </c>
      <c r="AC28" s="431"/>
      <c r="AD28" s="431"/>
      <c r="AE28" s="71"/>
      <c r="AF28" s="85"/>
      <c r="AG28" s="131"/>
      <c r="AH28" s="85"/>
      <c r="AI28" s="131"/>
      <c r="AJ28" s="85"/>
      <c r="AK28" s="131"/>
      <c r="AL28" s="160"/>
      <c r="AM28" s="160"/>
      <c r="AN28" s="160"/>
      <c r="AO28" s="160"/>
      <c r="AP28" s="85"/>
      <c r="AQ28" s="131"/>
      <c r="AR28" s="160"/>
    </row>
    <row r="29" customFormat="false" ht="24" hidden="false" customHeight="true" outlineLevel="0" collapsed="false">
      <c r="A29" s="12"/>
      <c r="B29" s="259"/>
      <c r="C29" s="161"/>
      <c r="D29" s="162"/>
      <c r="E29" s="171"/>
      <c r="F29" s="158"/>
      <c r="G29" s="165"/>
      <c r="H29" s="166"/>
      <c r="I29" s="172" t="s">
        <v>53</v>
      </c>
      <c r="J29" s="173">
        <f aca="false">SUM(J25:J28)</f>
      </c>
      <c r="K29" s="174">
        <f aca="false">+J29*0.3025</f>
      </c>
      <c r="L29" s="173">
        <f aca="false">SUM(L25:L28)</f>
      </c>
      <c r="M29" s="174">
        <f aca="false">+L29*0.3025</f>
      </c>
      <c r="N29" s="175">
        <f aca="false">SUM(N9:N28)</f>
      </c>
      <c r="O29" s="176">
        <f aca="false">+N29*0.3025</f>
      </c>
      <c r="P29" s="177">
        <f aca="false">SUM(P25:P28)</f>
      </c>
      <c r="Q29" s="178">
        <f aca="false">+P29*0.3025</f>
      </c>
      <c r="R29" s="174"/>
      <c r="S29" s="177"/>
      <c r="T29" s="178">
        <f aca="false">SUM(T9:T28)</f>
      </c>
      <c r="U29" s="173">
        <f aca="false">SUM(U9:U28)</f>
      </c>
      <c r="V29" s="177">
        <f aca="false">SUM(V9:V28)</f>
      </c>
      <c r="W29" s="178">
        <f aca="false">SUM(W9:W28)</f>
      </c>
      <c r="X29" s="173">
        <f aca="false">SUM(X9:X28)</f>
      </c>
      <c r="Y29" s="177">
        <f aca="false">SUM(Y9:Y28)</f>
      </c>
      <c r="Z29" s="178">
        <f aca="false">SUM(Z9:Z28)</f>
      </c>
      <c r="AA29" s="179">
        <f aca="false">+SUM(P29,T29,W29,X29,Y29,Z29)</f>
      </c>
      <c r="AB29" s="170" t="s">
        <v>11</v>
      </c>
      <c r="AC29" s="170"/>
      <c r="AD29" s="170"/>
      <c r="AE29" s="180"/>
      <c r="AF29" s="131">
        <f aca="false">+J28+N28+J30+N30</f>
      </c>
      <c r="AG29" s="131">
        <f aca="false">+AF29/134</f>
      </c>
      <c r="AH29" s="131"/>
      <c r="AI29" s="131"/>
      <c r="AJ29" s="85"/>
      <c r="AK29" s="131"/>
      <c r="AL29" s="181"/>
      <c r="AM29" s="181"/>
      <c r="AN29" s="181"/>
      <c r="AO29" s="181"/>
      <c r="AP29" s="182"/>
      <c r="AQ29" s="182"/>
      <c r="AR29" s="183"/>
    </row>
    <row r="30" customFormat="false" ht="24" hidden="false" customHeight="true" outlineLevel="0" collapsed="false">
      <c r="A30" s="12"/>
      <c r="B30" s="259"/>
      <c r="C30" s="161"/>
      <c r="D30" s="162" t="s">
        <v>14</v>
      </c>
      <c r="E30" s="184"/>
      <c r="F30" s="185"/>
      <c r="G30" s="186"/>
      <c r="H30" s="166"/>
      <c r="I30" s="187"/>
      <c r="J30" s="188"/>
      <c r="K30" s="88">
        <f aca="false">+J30*0.3025</f>
      </c>
      <c r="L30" s="189"/>
      <c r="M30" s="189"/>
      <c r="N30" s="190"/>
      <c r="O30" s="88">
        <f aca="false">+N30*0.3025</f>
      </c>
      <c r="P30" s="191">
        <f aca="false">J30+N30</f>
      </c>
      <c r="Q30" s="91">
        <f aca="false">+P30*0.3025</f>
      </c>
      <c r="R30" s="192"/>
      <c r="S30" s="193"/>
      <c r="T30" s="194">
        <f aca="false">R30+S30</f>
      </c>
      <c r="U30" s="195">
        <f aca="false">+AE30</f>
      </c>
      <c r="V30" s="190">
        <f aca="false">+AF30+AJ30</f>
      </c>
      <c r="W30" s="196">
        <f aca="false">+U30+V30</f>
      </c>
      <c r="X30" s="197"/>
      <c r="Y30" s="198"/>
      <c r="Z30" s="199"/>
      <c r="AA30" s="144">
        <f aca="false">+SUM(P30,T30,W30,X30,Y30,Z30)</f>
      </c>
      <c r="AB30" s="432" t="s">
        <v>11</v>
      </c>
      <c r="AC30" s="432"/>
      <c r="AD30" s="432"/>
      <c r="AE30" s="71"/>
      <c r="AF30" s="131"/>
      <c r="AG30" s="131"/>
      <c r="AH30" s="131"/>
      <c r="AI30" s="131"/>
      <c r="AJ30" s="85"/>
      <c r="AK30" s="131"/>
      <c r="AL30" s="160"/>
      <c r="AM30" s="160"/>
      <c r="AN30" s="160"/>
      <c r="AO30" s="160"/>
      <c r="AP30" s="182"/>
      <c r="AQ30" s="182"/>
      <c r="AR30" s="201"/>
    </row>
    <row r="31" customFormat="false" ht="24" hidden="false" customHeight="true" outlineLevel="0" collapsed="false">
      <c r="A31" s="12"/>
      <c r="B31" s="259"/>
      <c r="C31" s="145" t="s">
        <v>55</v>
      </c>
      <c r="D31" s="202" t="s">
        <v>38</v>
      </c>
      <c r="E31" s="203" t="s">
        <v>56</v>
      </c>
      <c r="F31" s="203"/>
      <c r="G31" s="204"/>
      <c r="H31" s="166"/>
      <c r="I31" s="187"/>
      <c r="J31" s="139"/>
      <c r="K31" s="205"/>
      <c r="L31" s="205"/>
      <c r="M31" s="205"/>
      <c r="N31" s="206"/>
      <c r="O31" s="206"/>
      <c r="P31" s="191"/>
      <c r="Q31" s="207"/>
      <c r="R31" s="208"/>
      <c r="S31" s="209"/>
      <c r="T31" s="62">
        <f aca="false">R31+S31</f>
      </c>
      <c r="U31" s="210"/>
      <c r="V31" s="140"/>
      <c r="W31" s="211">
        <f aca="false">+U31+V31</f>
      </c>
      <c r="X31" s="141"/>
      <c r="Y31" s="212"/>
      <c r="Z31" s="167"/>
      <c r="AA31" s="144">
        <f aca="false">+SUM(P31,T31,W31,X31,Y31,Z31)</f>
      </c>
      <c r="AB31" s="96"/>
      <c r="AC31" s="96"/>
      <c r="AD31" s="96"/>
      <c r="AE31" s="71"/>
      <c r="AF31" s="213"/>
      <c r="AG31" s="213"/>
      <c r="AH31" s="213"/>
      <c r="AI31" s="213"/>
      <c r="AJ31" s="85"/>
      <c r="AK31" s="131"/>
      <c r="AL31" s="160"/>
      <c r="AM31" s="160"/>
      <c r="AN31" s="160"/>
      <c r="AO31" s="160"/>
      <c r="AP31" s="160"/>
      <c r="AQ31" s="182"/>
      <c r="AR31" s="201"/>
    </row>
    <row r="32" customFormat="false" ht="24" hidden="false" customHeight="true" outlineLevel="0" collapsed="false">
      <c r="A32" s="12"/>
      <c r="B32" s="214"/>
      <c r="C32" s="215"/>
      <c r="D32" s="128" t="s">
        <v>39</v>
      </c>
      <c r="E32" s="216" t="s">
        <v>56</v>
      </c>
      <c r="F32" s="216"/>
      <c r="G32" s="217"/>
      <c r="H32" s="166"/>
      <c r="I32" s="187"/>
      <c r="J32" s="74"/>
      <c r="K32" s="75"/>
      <c r="L32" s="75"/>
      <c r="M32" s="75"/>
      <c r="N32" s="77"/>
      <c r="O32" s="60"/>
      <c r="P32" s="62">
        <f aca="false">J32+N32</f>
      </c>
      <c r="Q32" s="218"/>
      <c r="R32" s="208"/>
      <c r="S32" s="209"/>
      <c r="T32" s="62">
        <f aca="false">R32+S32</f>
      </c>
      <c r="U32" s="219"/>
      <c r="V32" s="93"/>
      <c r="W32" s="94">
        <f aca="false">+U32+V32</f>
      </c>
      <c r="X32" s="74"/>
      <c r="Y32" s="93">
        <f aca="false">+AA32-X32</f>
      </c>
      <c r="Z32" s="94"/>
      <c r="AA32" s="220">
        <f aca="false">+AH32</f>
      </c>
      <c r="AB32" s="97"/>
      <c r="AC32" s="97"/>
      <c r="AD32" s="97"/>
      <c r="AE32" s="71"/>
      <c r="AF32" s="85"/>
      <c r="AG32" s="85"/>
      <c r="AH32" s="131"/>
      <c r="AI32" s="131"/>
      <c r="AJ32" s="85"/>
      <c r="AK32" s="131"/>
      <c r="AL32" s="160"/>
      <c r="AM32" s="160"/>
      <c r="AN32" s="160"/>
      <c r="AO32" s="160"/>
      <c r="AP32" s="182"/>
      <c r="AQ32" s="182"/>
      <c r="AR32" s="201"/>
    </row>
    <row r="33" customFormat="false" ht="24" hidden="false" customHeight="true" outlineLevel="0" collapsed="false">
      <c r="A33" s="12"/>
      <c r="B33" s="221"/>
      <c r="C33" s="222"/>
      <c r="D33" s="223"/>
      <c r="E33" s="224"/>
      <c r="F33" s="225"/>
      <c r="G33" s="224"/>
      <c r="H33" s="166"/>
      <c r="I33" s="187"/>
      <c r="J33" s="219"/>
      <c r="K33" s="226"/>
      <c r="L33" s="226"/>
      <c r="M33" s="226"/>
      <c r="N33" s="93"/>
      <c r="O33" s="227"/>
      <c r="P33" s="228"/>
      <c r="Q33" s="229"/>
      <c r="R33" s="230"/>
      <c r="S33" s="231"/>
      <c r="T33" s="228"/>
      <c r="U33" s="219"/>
      <c r="V33" s="93"/>
      <c r="W33" s="94"/>
      <c r="X33" s="219"/>
      <c r="Y33" s="93"/>
      <c r="Z33" s="94"/>
      <c r="AA33" s="232"/>
      <c r="AB33" s="97"/>
      <c r="AC33" s="97"/>
      <c r="AD33" s="97"/>
      <c r="AE33" s="71"/>
      <c r="AF33" s="85"/>
      <c r="AG33" s="85"/>
      <c r="AH33" s="131">
        <f aca="false">+AE33-AF33</f>
      </c>
      <c r="AI33" s="131"/>
      <c r="AJ33" s="85"/>
      <c r="AK33" s="131"/>
      <c r="AL33" s="98"/>
      <c r="AM33" s="98"/>
      <c r="AN33" s="98"/>
      <c r="AO33" s="98"/>
      <c r="AP33" s="85"/>
      <c r="AQ33" s="85"/>
    </row>
    <row r="34" customFormat="false" ht="24" hidden="false" customHeight="true" outlineLevel="0" collapsed="false">
      <c r="A34" s="12"/>
      <c r="B34" s="38" t="s">
        <v>57</v>
      </c>
      <c r="C34" s="39" t="s">
        <v>49</v>
      </c>
      <c r="D34" s="233">
        <f aca="false">E15</f>
      </c>
      <c r="E34" s="234"/>
      <c r="F34" s="235">
        <f aca="false">D34*E34</f>
      </c>
      <c r="G34" s="41"/>
      <c r="H34" s="166"/>
      <c r="I34" s="187"/>
      <c r="J34" s="74"/>
      <c r="K34" s="75"/>
      <c r="L34" s="75"/>
      <c r="M34" s="75"/>
      <c r="N34" s="77"/>
      <c r="O34" s="236"/>
      <c r="P34" s="237">
        <f aca="false">J34+N34</f>
      </c>
      <c r="Q34" s="238"/>
      <c r="R34" s="208"/>
      <c r="S34" s="209"/>
      <c r="T34" s="237">
        <f aca="false">R34+S34</f>
      </c>
      <c r="U34" s="74"/>
      <c r="V34" s="77"/>
      <c r="W34" s="78">
        <f aca="false">+U34+V34</f>
      </c>
      <c r="X34" s="74"/>
      <c r="Y34" s="77"/>
      <c r="Z34" s="78"/>
      <c r="AA34" s="220">
        <f aca="false">+SUM(P34,T34,W34,X34,Y34,Z34)</f>
      </c>
      <c r="AB34" s="97"/>
      <c r="AC34" s="97"/>
      <c r="AD34" s="97"/>
      <c r="AE34" s="71"/>
      <c r="AF34" s="239"/>
      <c r="AG34" s="239"/>
      <c r="AH34" s="85"/>
      <c r="AI34" s="131"/>
      <c r="AJ34" s="85"/>
      <c r="AK34" s="131"/>
      <c r="AL34" s="85"/>
      <c r="AM34" s="85"/>
      <c r="AN34" s="85"/>
      <c r="AO34" s="85"/>
      <c r="AP34" s="85"/>
      <c r="AQ34" s="85"/>
    </row>
    <row r="35" customFormat="false" ht="24" hidden="false" customHeight="true" outlineLevel="0" collapsed="false">
      <c r="A35" s="12"/>
      <c r="B35" s="259"/>
      <c r="C35" s="240"/>
      <c r="D35" s="241"/>
      <c r="E35" s="242"/>
      <c r="F35" s="243"/>
      <c r="G35" s="244"/>
      <c r="H35" s="166"/>
      <c r="I35" s="187"/>
      <c r="J35" s="245"/>
      <c r="K35" s="245"/>
      <c r="L35" s="245"/>
      <c r="M35" s="245"/>
      <c r="N35" s="77"/>
      <c r="O35" s="236"/>
      <c r="P35" s="237">
        <f aca="false">J35+N35</f>
      </c>
      <c r="Q35" s="238"/>
      <c r="R35" s="208"/>
      <c r="S35" s="209"/>
      <c r="T35" s="237">
        <f aca="false">R35+S35</f>
      </c>
      <c r="U35" s="246"/>
      <c r="V35" s="77"/>
      <c r="W35" s="78">
        <f aca="false">+U35+V35</f>
      </c>
      <c r="X35" s="74"/>
      <c r="Y35" s="77"/>
      <c r="Z35" s="247"/>
      <c r="AA35" s="220">
        <f aca="false">+SUM(P35,T35,W35,X35,Y35,Z35)</f>
      </c>
      <c r="AB35" s="97"/>
      <c r="AC35" s="97"/>
      <c r="AD35" s="97"/>
      <c r="AE35" s="71"/>
      <c r="AF35" s="239"/>
      <c r="AG35" s="239"/>
      <c r="AH35" s="85"/>
      <c r="AI35" s="131"/>
      <c r="AJ35" s="85"/>
      <c r="AK35" s="131">
        <f aca="false">+AI35/AJ35</f>
      </c>
      <c r="AL35" s="85"/>
      <c r="AM35" s="85"/>
      <c r="AN35" s="85"/>
      <c r="AO35" s="85"/>
      <c r="AP35" s="85"/>
      <c r="AQ35" s="85"/>
    </row>
    <row r="36" customFormat="false" ht="24" hidden="false" customHeight="true" outlineLevel="0" collapsed="false">
      <c r="A36" s="12"/>
      <c r="B36" s="248"/>
      <c r="C36" s="100" t="s">
        <v>55</v>
      </c>
      <c r="D36" s="249">
        <f aca="false">+D34</f>
      </c>
      <c r="E36" s="250">
        <f aca="false">+E34</f>
      </c>
      <c r="F36" s="251">
        <f aca="false">D36*E36</f>
      </c>
      <c r="G36" s="252"/>
      <c r="H36" s="16"/>
      <c r="I36" s="172" t="s">
        <v>58</v>
      </c>
      <c r="J36" s="177">
        <f aca="false">SUM(J30:J35)</f>
      </c>
      <c r="K36" s="177">
        <f aca="false">+J36*0.3025</f>
      </c>
      <c r="L36" s="177"/>
      <c r="M36" s="177"/>
      <c r="N36" s="177">
        <f aca="false">SUM(N30:N35)</f>
      </c>
      <c r="O36" s="253">
        <f aca="false">+N36*0.3025</f>
      </c>
      <c r="P36" s="178">
        <f aca="false">SUM(P30:P35)</f>
      </c>
      <c r="Q36" s="179">
        <f aca="false">+P36*0.3025</f>
      </c>
      <c r="R36" s="254">
        <f aca="false">SUM(R30:R35)</f>
      </c>
      <c r="S36" s="255">
        <f aca="false">SUM(S30:S35)</f>
      </c>
      <c r="T36" s="256">
        <f aca="false">SUM(T30:T35)</f>
      </c>
      <c r="U36" s="173">
        <f aca="false">SUM(U30:U35)</f>
      </c>
      <c r="V36" s="177">
        <f aca="false">SUM(V30:V35)</f>
      </c>
      <c r="W36" s="178">
        <f aca="false">SUM(W30:W35)</f>
      </c>
      <c r="X36" s="173">
        <f aca="false">SUM(X30:X35)</f>
      </c>
      <c r="Y36" s="177">
        <f aca="false">SUM(Y30:Y35)</f>
      </c>
      <c r="Z36" s="178">
        <f aca="false">SUM(Z30:Z35)</f>
      </c>
      <c r="AA36" s="179">
        <f aca="false">+SUM(P36,T36,W36,X36,Y36,Z36)</f>
      </c>
      <c r="AB36" s="170"/>
      <c r="AC36" s="170"/>
      <c r="AD36" s="170"/>
      <c r="AE36" s="180"/>
      <c r="AF36" s="85"/>
      <c r="AG36" s="85"/>
      <c r="AH36" s="85"/>
      <c r="AI36" s="131"/>
      <c r="AJ36" s="85"/>
      <c r="AK36" s="131">
        <f aca="false">+AI36/AJ36</f>
      </c>
      <c r="AL36" s="257"/>
      <c r="AM36" s="257"/>
      <c r="AN36" s="257"/>
      <c r="AO36" s="257"/>
      <c r="AP36" s="258"/>
      <c r="AQ36" s="85"/>
    </row>
    <row r="37" customFormat="false" ht="24" hidden="false" customHeight="true" outlineLevel="0" collapsed="false">
      <c r="A37" s="12"/>
      <c r="B37" s="259" t="s">
        <v>59</v>
      </c>
      <c r="C37" s="100" t="s">
        <v>49</v>
      </c>
      <c r="D37" s="249"/>
      <c r="E37" s="242"/>
      <c r="F37" s="260"/>
      <c r="G37" s="244"/>
      <c r="H37" s="16"/>
      <c r="I37" s="38" t="s">
        <v>19</v>
      </c>
      <c r="J37" s="261">
        <f aca="false">J29+J36</f>
      </c>
      <c r="K37" s="262">
        <f aca="false">+J37*0.3025</f>
      </c>
      <c r="L37" s="261">
        <f aca="false">L29+L36</f>
      </c>
      <c r="M37" s="262">
        <f aca="false">+L37*0.3025</f>
      </c>
      <c r="N37" s="263">
        <f aca="false">N29+N36</f>
      </c>
      <c r="O37" s="264">
        <f aca="false">+N37*0.3025</f>
      </c>
      <c r="P37" s="265">
        <f aca="false">P29+P36</f>
      </c>
      <c r="Q37" s="266">
        <f aca="false">+P37*0.3025</f>
      </c>
      <c r="R37" s="267">
        <f aca="false">R29+R36</f>
      </c>
      <c r="S37" s="268">
        <f aca="false">S29+S36</f>
      </c>
      <c r="T37" s="269">
        <f aca="false">T29+T36</f>
      </c>
      <c r="U37" s="261">
        <f aca="false">U29+U36</f>
      </c>
      <c r="V37" s="263">
        <f aca="false">V29+V36</f>
      </c>
      <c r="W37" s="263">
        <f aca="false">W29+W36</f>
      </c>
      <c r="X37" s="261">
        <f aca="false">X29+X36</f>
      </c>
      <c r="Y37" s="263">
        <f aca="false">Y29+Y36</f>
      </c>
      <c r="Z37" s="265">
        <f aca="false">Z29+Z36</f>
      </c>
      <c r="AA37" s="266">
        <f aca="false">+SUM(P37,T37,W37,X37,Y37,Z37)</f>
      </c>
      <c r="AB37" s="270"/>
      <c r="AC37" s="270"/>
      <c r="AD37" s="270"/>
      <c r="AE37" s="180"/>
      <c r="AF37" s="271"/>
      <c r="AG37" s="271"/>
      <c r="AH37" s="271"/>
      <c r="AI37" s="131">
        <f aca="false">+AH36+AK36+AK35</f>
      </c>
      <c r="AJ37" s="271"/>
      <c r="AK37" s="131"/>
      <c r="AL37" s="98"/>
      <c r="AM37" s="98"/>
      <c r="AN37" s="98"/>
      <c r="AO37" s="98"/>
      <c r="AP37" s="85"/>
      <c r="AQ37" s="85"/>
    </row>
    <row r="38" customFormat="false" ht="24" hidden="false" customHeight="true" outlineLevel="0" collapsed="false">
      <c r="A38" s="12"/>
      <c r="B38" s="272"/>
      <c r="C38" s="273" t="s">
        <v>55</v>
      </c>
      <c r="D38" s="274"/>
      <c r="E38" s="275"/>
      <c r="F38" s="276"/>
      <c r="G38" s="277"/>
      <c r="H38" s="16"/>
      <c r="I38" s="272"/>
      <c r="J38" s="278">
        <f aca="false">J37*0.3025</f>
      </c>
      <c r="K38" s="279"/>
      <c r="L38" s="278">
        <f aca="false">L37*0.3025</f>
      </c>
      <c r="M38" s="279"/>
      <c r="N38" s="280">
        <f aca="false">N37*0.3025</f>
      </c>
      <c r="O38" s="281"/>
      <c r="P38" s="282">
        <f aca="false">P37*0.3025</f>
      </c>
      <c r="Q38" s="283"/>
      <c r="R38" s="284">
        <f aca="false">R37*0.3025</f>
      </c>
      <c r="S38" s="285">
        <f aca="false">S37*0.3025</f>
      </c>
      <c r="T38" s="286">
        <f aca="false">T37*0.3025</f>
      </c>
      <c r="U38" s="278">
        <f aca="false">U37*0.3025</f>
      </c>
      <c r="V38" s="280">
        <f aca="false">V37*0.3025</f>
      </c>
      <c r="W38" s="280">
        <f aca="false">W37*0.3025</f>
      </c>
      <c r="X38" s="278">
        <f aca="false">X37*0.3025</f>
      </c>
      <c r="Y38" s="280">
        <f aca="false">Y37*0.3025</f>
      </c>
      <c r="Z38" s="282">
        <f aca="false">Z37*0.3025</f>
      </c>
      <c r="AA38" s="287">
        <f aca="false">AA37*0.3025</f>
      </c>
      <c r="AB38" s="270"/>
      <c r="AC38" s="270"/>
      <c r="AD38" s="270"/>
      <c r="AE38" s="180"/>
      <c r="AF38" s="102"/>
      <c r="AG38" s="102"/>
      <c r="AH38" s="102"/>
      <c r="AI38" s="103"/>
      <c r="AJ38" s="102"/>
      <c r="AK38" s="103"/>
      <c r="AL38" s="98"/>
      <c r="AM38" s="98"/>
      <c r="AN38" s="98"/>
      <c r="AO38" s="98"/>
      <c r="AP38" s="85"/>
      <c r="AQ38" s="85"/>
    </row>
    <row r="39" customFormat="false" ht="24" hidden="false" customHeight="true" outlineLevel="0" collapsed="false">
      <c r="A39" s="12"/>
      <c r="B39" s="288"/>
      <c r="C39" s="288"/>
      <c r="D39" s="288"/>
      <c r="E39" s="288"/>
      <c r="F39" s="288"/>
      <c r="G39" s="288"/>
      <c r="H39" s="288"/>
      <c r="I39" s="13"/>
      <c r="J39" s="289"/>
      <c r="K39" s="289"/>
      <c r="L39" s="289"/>
      <c r="M39" s="289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7"/>
      <c r="AG39" s="7"/>
      <c r="AH39" s="7"/>
      <c r="AI39" s="9"/>
      <c r="AJ39" s="7"/>
      <c r="AK39" s="9"/>
      <c r="AL39" s="85"/>
      <c r="AM39" s="85"/>
      <c r="AN39" s="85"/>
      <c r="AO39" s="85"/>
      <c r="AP39" s="85"/>
      <c r="AQ39" s="85"/>
    </row>
    <row r="40" customFormat="false" ht="24" hidden="true" customHeight="true" outlineLevel="0" collapsed="false">
      <c r="A40" s="12"/>
      <c r="B40" s="290" t="s">
        <v>60</v>
      </c>
      <c r="C40" s="291"/>
      <c r="D40" s="291"/>
      <c r="E40" s="291"/>
      <c r="F40" s="292"/>
      <c r="G40" s="291"/>
      <c r="H40" s="291"/>
      <c r="I40" s="293"/>
      <c r="J40" s="294"/>
      <c r="K40" s="294"/>
      <c r="L40" s="294"/>
      <c r="M40" s="294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5" t="s">
        <v>61</v>
      </c>
      <c r="AB40" s="16"/>
      <c r="AC40" s="16"/>
      <c r="AD40" s="16"/>
      <c r="AE40" s="16"/>
      <c r="AF40" s="85"/>
      <c r="AG40" s="85"/>
      <c r="AH40" s="85"/>
      <c r="AI40" s="131"/>
      <c r="AJ40" s="85"/>
      <c r="AK40" s="131"/>
      <c r="AL40" s="85"/>
      <c r="AM40" s="85"/>
      <c r="AN40" s="85"/>
      <c r="AO40" s="85"/>
      <c r="AP40" s="85"/>
      <c r="AQ40" s="85"/>
    </row>
    <row r="41" customFormat="false" ht="24" hidden="true" customHeight="true" outlineLevel="0" collapsed="false">
      <c r="A41" s="12"/>
      <c r="B41" s="296" t="s">
        <v>62</v>
      </c>
      <c r="C41" s="297" t="s">
        <v>63</v>
      </c>
      <c r="D41" s="297"/>
      <c r="E41" s="298" t="s">
        <v>64</v>
      </c>
      <c r="F41" s="298"/>
      <c r="G41" s="298" t="s">
        <v>65</v>
      </c>
      <c r="H41" s="298"/>
      <c r="I41" s="299" t="s">
        <v>16</v>
      </c>
      <c r="J41" s="299"/>
      <c r="K41" s="300"/>
      <c r="L41" s="300"/>
      <c r="M41" s="300"/>
      <c r="N41" s="296" t="s">
        <v>66</v>
      </c>
      <c r="O41" s="296"/>
      <c r="P41" s="296"/>
      <c r="Q41" s="300"/>
      <c r="R41" s="300"/>
      <c r="S41" s="300"/>
      <c r="T41" s="300"/>
      <c r="U41" s="296" t="s">
        <v>67</v>
      </c>
      <c r="V41" s="296"/>
      <c r="W41" s="300"/>
      <c r="X41" s="296" t="s">
        <v>68</v>
      </c>
      <c r="Y41" s="296"/>
      <c r="Z41" s="297" t="s">
        <v>69</v>
      </c>
      <c r="AA41" s="301" t="s">
        <v>70</v>
      </c>
      <c r="AB41" s="302"/>
      <c r="AC41" s="302"/>
      <c r="AD41" s="302"/>
      <c r="AE41" s="302"/>
      <c r="AF41" s="303"/>
      <c r="AG41" s="303"/>
      <c r="AH41" s="303"/>
      <c r="AI41" s="304"/>
      <c r="AJ41" s="303"/>
      <c r="AK41" s="304"/>
      <c r="AL41" s="85"/>
      <c r="AM41" s="85"/>
      <c r="AN41" s="85"/>
      <c r="AO41" s="85"/>
      <c r="AP41" s="85"/>
      <c r="AQ41" s="85"/>
    </row>
    <row r="42" customFormat="false" ht="24" hidden="true" customHeight="true" outlineLevel="0" collapsed="false">
      <c r="A42" s="305"/>
      <c r="B42" s="306" t="s">
        <v>71</v>
      </c>
      <c r="C42" s="307"/>
      <c r="D42" s="308"/>
      <c r="E42" s="309"/>
      <c r="F42" s="308"/>
      <c r="G42" s="309"/>
      <c r="H42" s="308"/>
      <c r="I42" s="309"/>
      <c r="J42" s="310"/>
      <c r="K42" s="311"/>
      <c r="L42" s="311"/>
      <c r="M42" s="311"/>
      <c r="N42" s="312"/>
      <c r="O42" s="313"/>
      <c r="P42" s="314"/>
      <c r="Q42" s="315"/>
      <c r="R42" s="315"/>
      <c r="S42" s="315"/>
      <c r="T42" s="315"/>
      <c r="U42" s="307"/>
      <c r="V42" s="310"/>
      <c r="W42" s="311"/>
      <c r="X42" s="312"/>
      <c r="Y42" s="314"/>
      <c r="Z42" s="316"/>
      <c r="AA42" s="317"/>
      <c r="AB42" s="302"/>
      <c r="AC42" s="302"/>
      <c r="AD42" s="302"/>
      <c r="AE42" s="302"/>
      <c r="AF42" s="303"/>
      <c r="AG42" s="303"/>
      <c r="AH42" s="303"/>
      <c r="AI42" s="304"/>
      <c r="AJ42" s="303"/>
      <c r="AK42" s="304"/>
      <c r="AL42" s="85"/>
      <c r="AM42" s="85"/>
      <c r="AN42" s="85"/>
      <c r="AO42" s="85"/>
      <c r="AP42" s="85"/>
      <c r="AQ42" s="85"/>
    </row>
    <row r="43" customFormat="false" ht="24" hidden="true" customHeight="true" outlineLevel="0" collapsed="false">
      <c r="A43" s="305"/>
      <c r="B43" s="318" t="s">
        <v>11</v>
      </c>
      <c r="C43" s="319"/>
      <c r="D43" s="320"/>
      <c r="E43" s="321"/>
      <c r="F43" s="320"/>
      <c r="G43" s="321"/>
      <c r="H43" s="320"/>
      <c r="I43" s="321"/>
      <c r="J43" s="322"/>
      <c r="K43" s="323"/>
      <c r="L43" s="323"/>
      <c r="M43" s="323"/>
      <c r="N43" s="324"/>
      <c r="O43" s="325"/>
      <c r="P43" s="326"/>
      <c r="Q43" s="327"/>
      <c r="R43" s="327"/>
      <c r="S43" s="327"/>
      <c r="T43" s="327"/>
      <c r="U43" s="319"/>
      <c r="V43" s="322"/>
      <c r="W43" s="323"/>
      <c r="X43" s="324"/>
      <c r="Y43" s="326"/>
      <c r="Z43" s="328"/>
      <c r="AA43" s="317"/>
      <c r="AB43" s="329"/>
      <c r="AC43" s="329"/>
      <c r="AD43" s="329"/>
      <c r="AE43" s="329"/>
      <c r="AF43" s="330"/>
      <c r="AG43" s="330"/>
      <c r="AH43" s="330"/>
      <c r="AI43" s="331"/>
      <c r="AJ43" s="330"/>
      <c r="AK43" s="331"/>
      <c r="AL43" s="85"/>
      <c r="AM43" s="85"/>
      <c r="AN43" s="85"/>
      <c r="AO43" s="85"/>
      <c r="AP43" s="85"/>
      <c r="AQ43" s="85"/>
    </row>
    <row r="44" customFormat="false" ht="24" hidden="true" customHeight="true" outlineLevel="0" collapsed="false">
      <c r="A44" s="305"/>
      <c r="B44" s="332" t="s">
        <v>72</v>
      </c>
      <c r="C44" s="333">
        <f aca="false">C42+C43</f>
      </c>
      <c r="D44" s="334">
        <f aca="false">C44*0.3025</f>
      </c>
      <c r="E44" s="335">
        <f aca="false">E42+E43</f>
      </c>
      <c r="F44" s="334">
        <f aca="false">E44*0.3025</f>
      </c>
      <c r="G44" s="336">
        <f aca="false">G42+G43</f>
      </c>
      <c r="H44" s="334">
        <f aca="false">G44*0.3025</f>
      </c>
      <c r="I44" s="336">
        <f aca="false">I42+I43</f>
      </c>
      <c r="J44" s="337">
        <f aca="false">I44*0.3025</f>
      </c>
      <c r="K44" s="338"/>
      <c r="L44" s="338"/>
      <c r="M44" s="338"/>
      <c r="N44" s="339">
        <f aca="false">SUM(N42:N43)</f>
      </c>
      <c r="O44" s="340"/>
      <c r="P44" s="337">
        <f aca="false">N44*0.3025</f>
      </c>
      <c r="Q44" s="338"/>
      <c r="R44" s="338"/>
      <c r="S44" s="338"/>
      <c r="T44" s="338"/>
      <c r="U44" s="333"/>
      <c r="V44" s="337">
        <f aca="false">U44*0.3025</f>
      </c>
      <c r="W44" s="338"/>
      <c r="X44" s="333">
        <f aca="false">N44+U44</f>
      </c>
      <c r="Y44" s="337">
        <f aca="false">X44*0.3025</f>
      </c>
      <c r="Z44" s="341">
        <f aca="false">SUM(Z42:Z43)</f>
      </c>
      <c r="AA44" s="342">
        <f aca="false">SUM(AA42:AA43)</f>
      </c>
      <c r="AB44" s="329"/>
      <c r="AC44" s="329"/>
      <c r="AD44" s="329"/>
      <c r="AE44" s="329"/>
      <c r="AF44" s="330"/>
      <c r="AG44" s="330"/>
      <c r="AH44" s="330"/>
      <c r="AI44" s="331"/>
      <c r="AJ44" s="330"/>
      <c r="AK44" s="331"/>
      <c r="AL44" s="85"/>
      <c r="AM44" s="85"/>
      <c r="AN44" s="85"/>
      <c r="AO44" s="85"/>
      <c r="AP44" s="85"/>
      <c r="AQ44" s="85"/>
    </row>
    <row r="45" customFormat="false" ht="24" hidden="true" customHeight="true" outlineLevel="0" collapsed="false">
      <c r="A45" s="5"/>
      <c r="B45" s="343"/>
      <c r="C45" s="344"/>
      <c r="D45" s="302"/>
      <c r="E45" s="302"/>
      <c r="F45" s="329"/>
      <c r="G45" s="302"/>
      <c r="H45" s="288"/>
      <c r="I45" s="13"/>
      <c r="J45" s="343"/>
      <c r="K45" s="343"/>
      <c r="L45" s="343"/>
      <c r="M45" s="343"/>
      <c r="N45" s="343"/>
      <c r="O45" s="343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345"/>
      <c r="AA45" s="343"/>
      <c r="AB45" s="346"/>
      <c r="AC45" s="346"/>
      <c r="AD45" s="346"/>
      <c r="AE45" s="346"/>
      <c r="AF45" s="331"/>
      <c r="AG45" s="331"/>
      <c r="AH45" s="331"/>
      <c r="AI45" s="331"/>
      <c r="AJ45" s="331"/>
      <c r="AK45" s="331"/>
      <c r="AL45" s="85"/>
      <c r="AM45" s="85"/>
      <c r="AN45" s="85"/>
      <c r="AO45" s="85"/>
      <c r="AP45" s="85"/>
      <c r="AQ45" s="85"/>
    </row>
    <row r="46" customFormat="false" ht="24" hidden="true" customHeight="true" outlineLevel="0" collapsed="false">
      <c r="A46" s="5"/>
      <c r="B46" s="347" t="s">
        <v>73</v>
      </c>
      <c r="C46" s="347"/>
      <c r="D46" s="347"/>
      <c r="E46" s="347"/>
      <c r="F46" s="347"/>
      <c r="G46" s="302"/>
      <c r="H46" s="288"/>
      <c r="I46" s="13"/>
      <c r="J46" s="343"/>
      <c r="K46" s="343"/>
      <c r="L46" s="343"/>
      <c r="M46" s="343"/>
      <c r="N46" s="343"/>
      <c r="O46" s="343"/>
      <c r="P46" s="302"/>
      <c r="Q46" s="302"/>
      <c r="R46" s="302"/>
      <c r="S46" s="302"/>
      <c r="T46" s="302"/>
      <c r="U46" s="329"/>
      <c r="V46" s="302"/>
      <c r="W46" s="302"/>
      <c r="X46" s="329"/>
      <c r="Y46" s="302"/>
      <c r="Z46" s="329"/>
      <c r="AA46" s="295"/>
      <c r="AB46" s="329"/>
      <c r="AC46" s="329"/>
      <c r="AD46" s="295" t="s">
        <v>61</v>
      </c>
      <c r="AE46" s="348"/>
      <c r="AF46" s="116"/>
      <c r="AG46" s="116"/>
      <c r="AH46" s="116"/>
      <c r="AI46" s="117"/>
      <c r="AJ46" s="116"/>
      <c r="AK46" s="117"/>
      <c r="AL46" s="85"/>
      <c r="AM46" s="85"/>
      <c r="AN46" s="85"/>
      <c r="AO46" s="85"/>
      <c r="AP46" s="85"/>
      <c r="AQ46" s="85"/>
    </row>
    <row r="47" s="366" customFormat="true" ht="24" hidden="true" customHeight="true" outlineLevel="0" collapsed="false">
      <c r="A47" s="374"/>
      <c r="B47" s="296" t="s">
        <v>62</v>
      </c>
      <c r="C47" s="350" t="s">
        <v>74</v>
      </c>
      <c r="D47" s="301" t="s">
        <v>63</v>
      </c>
      <c r="E47" s="299" t="s">
        <v>75</v>
      </c>
      <c r="F47" s="351" t="s">
        <v>76</v>
      </c>
      <c r="G47" s="351"/>
      <c r="H47" s="352" t="s">
        <v>77</v>
      </c>
      <c r="I47" s="352"/>
      <c r="J47" s="353" t="s">
        <v>78</v>
      </c>
      <c r="K47" s="353"/>
      <c r="L47" s="353"/>
      <c r="M47" s="353"/>
      <c r="N47" s="353"/>
      <c r="O47" s="353"/>
      <c r="P47" s="354" t="s">
        <v>79</v>
      </c>
      <c r="Q47" s="354"/>
      <c r="R47" s="355"/>
      <c r="S47" s="355"/>
      <c r="T47" s="355"/>
      <c r="U47" s="355"/>
      <c r="V47" s="356"/>
      <c r="W47" s="357"/>
      <c r="X47" s="358"/>
      <c r="Y47" s="296" t="s">
        <v>68</v>
      </c>
      <c r="Z47" s="296"/>
      <c r="AA47" s="359" t="s">
        <v>79</v>
      </c>
      <c r="AB47" s="360" t="s">
        <v>80</v>
      </c>
      <c r="AC47" s="360"/>
      <c r="AD47" s="361" t="s">
        <v>81</v>
      </c>
      <c r="AE47" s="362"/>
      <c r="AF47" s="363"/>
      <c r="AG47" s="363"/>
      <c r="AH47" s="363"/>
      <c r="AI47" s="364"/>
      <c r="AJ47" s="363"/>
      <c r="AK47" s="364"/>
      <c r="AL47" s="365"/>
      <c r="AM47" s="365"/>
      <c r="AN47" s="365"/>
      <c r="AO47" s="365"/>
      <c r="AP47" s="365"/>
      <c r="AQ47" s="365"/>
    </row>
    <row r="48" s="366" customFormat="true" ht="24" hidden="true" customHeight="true" outlineLevel="0" collapsed="false">
      <c r="A48" s="374"/>
      <c r="B48" s="296"/>
      <c r="C48" s="350"/>
      <c r="D48" s="301"/>
      <c r="E48" s="299"/>
      <c r="F48" s="367" t="s">
        <v>82</v>
      </c>
      <c r="G48" s="367"/>
      <c r="H48" s="352"/>
      <c r="I48" s="352"/>
      <c r="J48" s="368" t="s">
        <v>83</v>
      </c>
      <c r="K48" s="368"/>
      <c r="L48" s="368"/>
      <c r="M48" s="368"/>
      <c r="N48" s="368"/>
      <c r="O48" s="368"/>
      <c r="P48" s="369" t="s">
        <v>84</v>
      </c>
      <c r="Q48" s="369"/>
      <c r="R48" s="370"/>
      <c r="S48" s="368" t="s">
        <v>17</v>
      </c>
      <c r="T48" s="368"/>
      <c r="U48" s="368" t="s">
        <v>85</v>
      </c>
      <c r="V48" s="368"/>
      <c r="W48" s="371"/>
      <c r="X48" s="372"/>
      <c r="Y48" s="296"/>
      <c r="Z48" s="296"/>
      <c r="AA48" s="359"/>
      <c r="AB48" s="360"/>
      <c r="AC48" s="360"/>
      <c r="AD48" s="361"/>
      <c r="AE48" s="373"/>
      <c r="AF48" s="116"/>
      <c r="AG48" s="116"/>
      <c r="AH48" s="116"/>
      <c r="AI48" s="117"/>
      <c r="AJ48" s="330"/>
      <c r="AK48" s="331"/>
      <c r="AL48" s="374" t="s">
        <v>14</v>
      </c>
      <c r="AM48" s="374"/>
      <c r="AN48" s="374"/>
      <c r="AO48" s="374"/>
      <c r="AP48" s="365"/>
      <c r="AQ48" s="365"/>
    </row>
    <row r="49" s="366" customFormat="true" ht="24" hidden="true" customHeight="true" outlineLevel="0" collapsed="false">
      <c r="A49" s="374"/>
      <c r="B49" s="375" t="s">
        <v>86</v>
      </c>
      <c r="C49" s="376"/>
      <c r="D49" s="377"/>
      <c r="E49" s="378">
        <f aca="false">C49/$C$59</f>
      </c>
      <c r="F49" s="379"/>
      <c r="G49" s="380">
        <f aca="false">F49*0.3025</f>
      </c>
      <c r="H49" s="381">
        <f aca="false">+D49+F49</f>
      </c>
      <c r="I49" s="382">
        <f aca="false">H49*0.3025</f>
      </c>
      <c r="J49" s="383"/>
      <c r="K49" s="383"/>
      <c r="L49" s="383"/>
      <c r="M49" s="383"/>
      <c r="N49" s="383"/>
      <c r="O49" s="383"/>
      <c r="P49" s="384"/>
      <c r="Q49" s="382">
        <f aca="false">P49*0.3025</f>
      </c>
      <c r="R49" s="382">
        <f aca="false">P49*0.3025</f>
      </c>
      <c r="S49" s="384">
        <f aca="false">ROUND(D49/$D$59*$S$59,2)</f>
      </c>
      <c r="T49" s="382">
        <f aca="false">S49*0.3025</f>
      </c>
      <c r="U49" s="385">
        <f aca="false">J49+P49+S49</f>
      </c>
      <c r="V49" s="382">
        <f aca="false">U49*0.3025</f>
      </c>
      <c r="W49" s="386"/>
      <c r="X49" s="382"/>
      <c r="Y49" s="387">
        <f aca="false">H49+U49</f>
      </c>
      <c r="Z49" s="388">
        <f aca="false">Y49*0.3025</f>
      </c>
      <c r="AA49" s="389">
        <f aca="false">+AL49</f>
      </c>
      <c r="AB49" s="390">
        <f aca="false">+H49+P49</f>
      </c>
      <c r="AC49" s="380">
        <f aca="false">AB49*0.3025</f>
      </c>
      <c r="AD49" s="391"/>
      <c r="AE49" s="392"/>
      <c r="AF49" s="363"/>
      <c r="AG49" s="363"/>
      <c r="AH49" s="363"/>
      <c r="AI49" s="364"/>
      <c r="AJ49" s="363"/>
      <c r="AK49" s="364"/>
      <c r="AL49" s="365">
        <f aca="false">SUM(AF49:AK49)</f>
      </c>
      <c r="AM49" s="365"/>
      <c r="AN49" s="365"/>
      <c r="AO49" s="365"/>
      <c r="AP49" s="365"/>
      <c r="AQ49" s="365"/>
    </row>
    <row r="50" s="366" customFormat="true" ht="24" hidden="true" customHeight="true" outlineLevel="0" collapsed="false">
      <c r="A50" s="374"/>
      <c r="B50" s="375" t="s">
        <v>87</v>
      </c>
      <c r="C50" s="376"/>
      <c r="D50" s="377"/>
      <c r="E50" s="378">
        <f aca="false">C50/$C$59</f>
      </c>
      <c r="F50" s="379"/>
      <c r="G50" s="380">
        <f aca="false">F50*0.3025</f>
      </c>
      <c r="H50" s="381">
        <f aca="false">+D50+F50</f>
      </c>
      <c r="I50" s="382">
        <f aca="false">H50*0.3025</f>
      </c>
      <c r="J50" s="383"/>
      <c r="K50" s="383"/>
      <c r="L50" s="383"/>
      <c r="M50" s="383"/>
      <c r="N50" s="383"/>
      <c r="O50" s="383"/>
      <c r="P50" s="384"/>
      <c r="Q50" s="382">
        <f aca="false">P50*0.3025</f>
      </c>
      <c r="R50" s="382">
        <f aca="false">P50*0.3025</f>
      </c>
      <c r="S50" s="384">
        <f aca="false">ROUND(D50/$D$59*$S$59,2)</f>
      </c>
      <c r="T50" s="382">
        <f aca="false">S50*0.3025</f>
      </c>
      <c r="U50" s="385">
        <f aca="false">J50+P50+S50</f>
      </c>
      <c r="V50" s="382">
        <f aca="false">U50*0.3025</f>
      </c>
      <c r="W50" s="393"/>
      <c r="X50" s="382"/>
      <c r="Y50" s="387">
        <f aca="false">H50+U50</f>
      </c>
      <c r="Z50" s="388">
        <f aca="false">Y50*0.3025</f>
      </c>
      <c r="AA50" s="394"/>
      <c r="AB50" s="390">
        <f aca="false">+H50+P50</f>
      </c>
      <c r="AC50" s="380">
        <f aca="false">AB50*0.3025</f>
      </c>
      <c r="AD50" s="391"/>
      <c r="AE50" s="395"/>
      <c r="AF50" s="330"/>
      <c r="AG50" s="330"/>
      <c r="AH50" s="363"/>
      <c r="AI50" s="364"/>
      <c r="AJ50" s="363"/>
      <c r="AK50" s="364"/>
      <c r="AL50" s="396">
        <f aca="false">SUM(AH50:AK50)</f>
      </c>
      <c r="AM50" s="365"/>
      <c r="AN50" s="365"/>
      <c r="AO50" s="365"/>
      <c r="AP50" s="365"/>
      <c r="AQ50" s="365"/>
    </row>
    <row r="51" s="366" customFormat="true" ht="24" hidden="true" customHeight="true" outlineLevel="0" collapsed="false">
      <c r="A51" s="374"/>
      <c r="B51" s="375" t="s">
        <v>88</v>
      </c>
      <c r="C51" s="376"/>
      <c r="D51" s="377"/>
      <c r="E51" s="378">
        <f aca="false">C51/$C$59</f>
      </c>
      <c r="F51" s="379"/>
      <c r="G51" s="380">
        <f aca="false">F51*0.3025</f>
      </c>
      <c r="H51" s="381">
        <f aca="false">+D51+F51</f>
      </c>
      <c r="I51" s="382">
        <f aca="false">H51*0.3025</f>
      </c>
      <c r="J51" s="383"/>
      <c r="K51" s="383"/>
      <c r="L51" s="383"/>
      <c r="M51" s="383"/>
      <c r="N51" s="383"/>
      <c r="O51" s="383"/>
      <c r="P51" s="384"/>
      <c r="Q51" s="382">
        <f aca="false">P51*0.3025</f>
      </c>
      <c r="R51" s="382">
        <f aca="false">P51*0.3025</f>
      </c>
      <c r="S51" s="384">
        <f aca="false">ROUND(D51/$D$59*$S$59,2)</f>
      </c>
      <c r="T51" s="382">
        <f aca="false">S51*0.3025</f>
      </c>
      <c r="U51" s="385">
        <f aca="false">J51+P51+S51</f>
      </c>
      <c r="V51" s="382">
        <f aca="false">U51*0.3025</f>
      </c>
      <c r="W51" s="397"/>
      <c r="X51" s="398"/>
      <c r="Y51" s="387">
        <f aca="false">H51+U51</f>
      </c>
      <c r="Z51" s="388">
        <f aca="false">Y51*0.3025</f>
      </c>
      <c r="AA51" s="394"/>
      <c r="AB51" s="390">
        <f aca="false">+H51+P51</f>
      </c>
      <c r="AC51" s="380">
        <f aca="false">AB51*0.3025</f>
      </c>
      <c r="AD51" s="391"/>
      <c r="AE51" s="399"/>
      <c r="AF51" s="330"/>
      <c r="AG51" s="330"/>
      <c r="AH51" s="363"/>
      <c r="AI51" s="364"/>
      <c r="AJ51" s="363"/>
      <c r="AK51" s="364"/>
      <c r="AL51" s="396">
        <f aca="false">SUM(AH51:AK51)</f>
      </c>
      <c r="AM51" s="365"/>
      <c r="AN51" s="365"/>
      <c r="AO51" s="365"/>
      <c r="AP51" s="365"/>
      <c r="AQ51" s="365"/>
    </row>
    <row r="52" s="366" customFormat="true" ht="24" hidden="true" customHeight="true" outlineLevel="0" collapsed="false">
      <c r="A52" s="374"/>
      <c r="B52" s="375" t="s">
        <v>89</v>
      </c>
      <c r="C52" s="376"/>
      <c r="D52" s="377"/>
      <c r="E52" s="378">
        <f aca="false">C52/$C$59</f>
      </c>
      <c r="F52" s="379"/>
      <c r="G52" s="380">
        <f aca="false">F52*0.3025</f>
      </c>
      <c r="H52" s="381">
        <f aca="false">+D52+F52</f>
      </c>
      <c r="I52" s="382">
        <f aca="false">H52*0.3025</f>
      </c>
      <c r="J52" s="383"/>
      <c r="K52" s="383"/>
      <c r="L52" s="383"/>
      <c r="M52" s="383"/>
      <c r="N52" s="383"/>
      <c r="O52" s="383"/>
      <c r="P52" s="384"/>
      <c r="Q52" s="382">
        <f aca="false">P52*0.3025</f>
      </c>
      <c r="R52" s="382"/>
      <c r="S52" s="384"/>
      <c r="T52" s="382"/>
      <c r="U52" s="385"/>
      <c r="V52" s="382"/>
      <c r="W52" s="397"/>
      <c r="X52" s="398"/>
      <c r="Y52" s="387"/>
      <c r="Z52" s="388"/>
      <c r="AA52" s="389"/>
      <c r="AB52" s="390">
        <f aca="false">+H52+P52</f>
      </c>
      <c r="AC52" s="380">
        <f aca="false">AB52*0.3025</f>
      </c>
      <c r="AD52" s="400"/>
      <c r="AE52" s="399"/>
      <c r="AF52" s="330"/>
      <c r="AG52" s="330"/>
      <c r="AH52" s="330"/>
      <c r="AI52" s="331"/>
      <c r="AJ52" s="330"/>
      <c r="AK52" s="331"/>
      <c r="AL52" s="365"/>
      <c r="AM52" s="365"/>
      <c r="AN52" s="365"/>
      <c r="AO52" s="365"/>
      <c r="AP52" s="365"/>
      <c r="AQ52" s="365"/>
    </row>
    <row r="53" s="366" customFormat="true" ht="24" hidden="true" customHeight="true" outlineLevel="0" collapsed="false">
      <c r="A53" s="374"/>
      <c r="B53" s="375"/>
      <c r="C53" s="376"/>
      <c r="D53" s="377"/>
      <c r="E53" s="378"/>
      <c r="F53" s="379"/>
      <c r="G53" s="380"/>
      <c r="H53" s="381"/>
      <c r="I53" s="382"/>
      <c r="J53" s="383"/>
      <c r="K53" s="383"/>
      <c r="L53" s="383"/>
      <c r="M53" s="383"/>
      <c r="N53" s="383"/>
      <c r="O53" s="383"/>
      <c r="P53" s="384"/>
      <c r="Q53" s="401"/>
      <c r="R53" s="382"/>
      <c r="S53" s="384"/>
      <c r="T53" s="382"/>
      <c r="U53" s="385"/>
      <c r="V53" s="382"/>
      <c r="W53" s="397"/>
      <c r="X53" s="398"/>
      <c r="Y53" s="387"/>
      <c r="Z53" s="388"/>
      <c r="AA53" s="394"/>
      <c r="AB53" s="390"/>
      <c r="AC53" s="380"/>
      <c r="AD53" s="400"/>
      <c r="AE53" s="399"/>
      <c r="AF53" s="330"/>
      <c r="AG53" s="330"/>
      <c r="AH53" s="330"/>
      <c r="AI53" s="331"/>
      <c r="AJ53" s="330"/>
      <c r="AK53" s="331"/>
      <c r="AL53" s="365"/>
      <c r="AM53" s="365"/>
      <c r="AN53" s="365"/>
      <c r="AO53" s="365"/>
      <c r="AP53" s="365"/>
      <c r="AQ53" s="365"/>
    </row>
    <row r="54" s="366" customFormat="true" ht="24" hidden="true" customHeight="true" outlineLevel="0" collapsed="false">
      <c r="A54" s="374"/>
      <c r="B54" s="375"/>
      <c r="C54" s="376"/>
      <c r="D54" s="377"/>
      <c r="E54" s="378"/>
      <c r="F54" s="379"/>
      <c r="G54" s="380"/>
      <c r="H54" s="381"/>
      <c r="I54" s="382"/>
      <c r="J54" s="383"/>
      <c r="K54" s="383"/>
      <c r="L54" s="383"/>
      <c r="M54" s="383"/>
      <c r="N54" s="383"/>
      <c r="O54" s="383"/>
      <c r="P54" s="384"/>
      <c r="Q54" s="401"/>
      <c r="R54" s="382"/>
      <c r="S54" s="384"/>
      <c r="T54" s="382"/>
      <c r="U54" s="385"/>
      <c r="V54" s="382"/>
      <c r="W54" s="397"/>
      <c r="X54" s="398"/>
      <c r="Y54" s="387"/>
      <c r="Z54" s="388"/>
      <c r="AA54" s="394"/>
      <c r="AB54" s="390"/>
      <c r="AC54" s="380"/>
      <c r="AD54" s="400"/>
      <c r="AE54" s="399"/>
      <c r="AF54" s="330"/>
      <c r="AG54" s="330"/>
      <c r="AH54" s="330"/>
      <c r="AI54" s="331"/>
      <c r="AJ54" s="330"/>
      <c r="AK54" s="331"/>
      <c r="AL54" s="365"/>
      <c r="AM54" s="365"/>
      <c r="AN54" s="365"/>
      <c r="AO54" s="365"/>
      <c r="AP54" s="365"/>
      <c r="AQ54" s="365"/>
    </row>
    <row r="55" s="366" customFormat="true" ht="24" hidden="true" customHeight="true" outlineLevel="0" collapsed="false">
      <c r="A55" s="374"/>
      <c r="B55" s="375"/>
      <c r="C55" s="376"/>
      <c r="D55" s="377"/>
      <c r="E55" s="398">
        <f aca="false">C55/$C$59</f>
      </c>
      <c r="F55" s="402">
        <f aca="false">ROUND(D55/$D$59*($N$29+$S$29)+D55*0.02,2)</f>
      </c>
      <c r="G55" s="403">
        <f aca="false">F55*0.3025</f>
      </c>
      <c r="H55" s="404">
        <f aca="false">+D55+F55</f>
      </c>
      <c r="I55" s="398">
        <f aca="false">H55*0.3025</f>
      </c>
      <c r="J55" s="383"/>
      <c r="K55" s="383"/>
      <c r="L55" s="383"/>
      <c r="M55" s="383"/>
      <c r="N55" s="383"/>
      <c r="O55" s="383"/>
      <c r="P55" s="402"/>
      <c r="Q55" s="397"/>
      <c r="R55" s="398">
        <f aca="false">P55*0.3025</f>
      </c>
      <c r="S55" s="402">
        <f aca="false">ROUND(D55/$D$59*$S$59,2)</f>
      </c>
      <c r="T55" s="398">
        <f aca="false">S55*0.3025</f>
      </c>
      <c r="U55" s="405">
        <f aca="false">J55+P55+S55</f>
      </c>
      <c r="V55" s="398">
        <f aca="false">U55*0.3025</f>
      </c>
      <c r="W55" s="397"/>
      <c r="X55" s="398"/>
      <c r="Y55" s="406">
        <f aca="false">H55+U55</f>
      </c>
      <c r="Z55" s="256">
        <f aca="false">Y55*0.3025</f>
      </c>
      <c r="AA55" s="389"/>
      <c r="AB55" s="407">
        <f aca="false">+D55+AA55</f>
      </c>
      <c r="AC55" s="403">
        <f aca="false">AB55*0.3025</f>
      </c>
      <c r="AD55" s="400"/>
      <c r="AE55" s="399"/>
      <c r="AF55" s="330"/>
      <c r="AG55" s="330"/>
      <c r="AH55" s="330"/>
      <c r="AI55" s="331"/>
      <c r="AJ55" s="330"/>
      <c r="AK55" s="331"/>
      <c r="AL55" s="365"/>
      <c r="AM55" s="365"/>
      <c r="AN55" s="365"/>
      <c r="AO55" s="365"/>
      <c r="AP55" s="365"/>
      <c r="AQ55" s="365"/>
    </row>
    <row r="56" s="366" customFormat="true" ht="24" hidden="true" customHeight="true" outlineLevel="0" collapsed="false">
      <c r="A56" s="374"/>
      <c r="B56" s="375"/>
      <c r="C56" s="376"/>
      <c r="D56" s="377"/>
      <c r="E56" s="398">
        <f aca="false">C56/$C$59</f>
      </c>
      <c r="F56" s="402">
        <f aca="false">ROUND(D56/$D$59*($N$29+$S$29)+D56*0.02,2)</f>
      </c>
      <c r="G56" s="403">
        <f aca="false">F56*0.3025</f>
      </c>
      <c r="H56" s="404">
        <f aca="false">+D56+F56</f>
      </c>
      <c r="I56" s="398">
        <f aca="false">H56*0.3025</f>
      </c>
      <c r="J56" s="383"/>
      <c r="K56" s="383"/>
      <c r="L56" s="383"/>
      <c r="M56" s="383"/>
      <c r="N56" s="383"/>
      <c r="O56" s="383"/>
      <c r="P56" s="402"/>
      <c r="Q56" s="397"/>
      <c r="R56" s="398">
        <f aca="false">P56*0.3025</f>
      </c>
      <c r="S56" s="402">
        <f aca="false">ROUND(D56/$D$59*$S$59,2)</f>
      </c>
      <c r="T56" s="398">
        <f aca="false">S56*0.3025</f>
      </c>
      <c r="U56" s="405">
        <f aca="false">J56+P56+S56</f>
      </c>
      <c r="V56" s="398">
        <f aca="false">U56*0.3025</f>
      </c>
      <c r="W56" s="397"/>
      <c r="X56" s="398"/>
      <c r="Y56" s="406">
        <f aca="false">H56+U56</f>
      </c>
      <c r="Z56" s="256">
        <f aca="false">Y56*0.3025</f>
      </c>
      <c r="AA56" s="394"/>
      <c r="AB56" s="407">
        <f aca="false">+D56+AA56</f>
      </c>
      <c r="AC56" s="403">
        <f aca="false">AB56*0.3025</f>
      </c>
      <c r="AD56" s="400"/>
      <c r="AE56" s="399"/>
      <c r="AF56" s="330"/>
      <c r="AG56" s="330"/>
      <c r="AH56" s="330"/>
      <c r="AI56" s="331"/>
      <c r="AJ56" s="330"/>
      <c r="AK56" s="331"/>
      <c r="AL56" s="365"/>
      <c r="AM56" s="365"/>
      <c r="AN56" s="365"/>
      <c r="AO56" s="365"/>
      <c r="AP56" s="365"/>
      <c r="AQ56" s="365"/>
    </row>
    <row r="57" s="366" customFormat="true" ht="24" hidden="true" customHeight="true" outlineLevel="0" collapsed="false">
      <c r="A57" s="374"/>
      <c r="B57" s="375"/>
      <c r="C57" s="376"/>
      <c r="D57" s="377"/>
      <c r="E57" s="398">
        <f aca="false">C57/$C$59</f>
      </c>
      <c r="F57" s="402">
        <f aca="false">ROUND(D57/$D$59*($N$29+$S$29)+D57*0.02,2)</f>
      </c>
      <c r="G57" s="403">
        <f aca="false">F57*0.3025</f>
      </c>
      <c r="H57" s="404">
        <f aca="false">+D57+F57</f>
      </c>
      <c r="I57" s="398">
        <f aca="false">H57*0.3025</f>
      </c>
      <c r="J57" s="383"/>
      <c r="K57" s="383"/>
      <c r="L57" s="383"/>
      <c r="M57" s="383"/>
      <c r="N57" s="383"/>
      <c r="O57" s="383"/>
      <c r="P57" s="402"/>
      <c r="Q57" s="397"/>
      <c r="R57" s="398">
        <f aca="false">P57*0.3025</f>
      </c>
      <c r="S57" s="402">
        <f aca="false">ROUND(D57/$D$59*$S$59,2)</f>
      </c>
      <c r="T57" s="398">
        <f aca="false">S57*0.3025</f>
      </c>
      <c r="U57" s="405">
        <f aca="false">J57+P57+S57</f>
      </c>
      <c r="V57" s="398">
        <f aca="false">U57*0.3025</f>
      </c>
      <c r="W57" s="397"/>
      <c r="X57" s="398"/>
      <c r="Y57" s="406">
        <f aca="false">H57+U57</f>
      </c>
      <c r="Z57" s="256">
        <f aca="false">Y57*0.3025</f>
      </c>
      <c r="AA57" s="394"/>
      <c r="AB57" s="407">
        <f aca="false">+D57+AA57</f>
      </c>
      <c r="AC57" s="403">
        <f aca="false">AB57*0.3025</f>
      </c>
      <c r="AD57" s="400"/>
      <c r="AE57" s="399"/>
      <c r="AF57" s="330"/>
      <c r="AG57" s="330"/>
      <c r="AH57" s="330"/>
      <c r="AI57" s="331"/>
      <c r="AJ57" s="330"/>
      <c r="AK57" s="331"/>
      <c r="AL57" s="365"/>
      <c r="AM57" s="365"/>
      <c r="AN57" s="365"/>
      <c r="AO57" s="365"/>
      <c r="AP57" s="365"/>
      <c r="AQ57" s="365"/>
    </row>
    <row r="58" s="366" customFormat="true" ht="24" hidden="true" customHeight="true" outlineLevel="0" collapsed="false">
      <c r="A58" s="374"/>
      <c r="B58" s="375"/>
      <c r="C58" s="376"/>
      <c r="D58" s="377"/>
      <c r="E58" s="398">
        <f aca="false">C58/$C$59</f>
      </c>
      <c r="F58" s="402">
        <f aca="false">ROUND(D58/$D$59*$N$29+D58*0.02,2)</f>
      </c>
      <c r="G58" s="403">
        <f aca="false">F58*0.3025</f>
      </c>
      <c r="H58" s="404">
        <f aca="false">+D58+F58</f>
      </c>
      <c r="I58" s="398">
        <f aca="false">H58*0.3025</f>
      </c>
      <c r="J58" s="383"/>
      <c r="K58" s="383"/>
      <c r="L58" s="383"/>
      <c r="M58" s="383"/>
      <c r="N58" s="383"/>
      <c r="O58" s="383"/>
      <c r="P58" s="402"/>
      <c r="Q58" s="397"/>
      <c r="R58" s="398">
        <f aca="false">P58*0.3025</f>
      </c>
      <c r="S58" s="402">
        <f aca="false">ROUND(D58/$D$59*$S$59,2)</f>
      </c>
      <c r="T58" s="398">
        <f aca="false">S58*0.3025</f>
      </c>
      <c r="U58" s="405">
        <f aca="false">J58+P58+S58</f>
      </c>
      <c r="V58" s="398">
        <f aca="false">U58*0.3025</f>
      </c>
      <c r="W58" s="397"/>
      <c r="X58" s="398"/>
      <c r="Y58" s="406">
        <f aca="false">H58+U58</f>
      </c>
      <c r="Z58" s="256">
        <f aca="false">Y58*0.3025</f>
      </c>
      <c r="AA58" s="389"/>
      <c r="AB58" s="407">
        <f aca="false">+D58+AA58</f>
      </c>
      <c r="AC58" s="403">
        <f aca="false">AB58*0.3025</f>
      </c>
      <c r="AD58" s="400"/>
      <c r="AE58" s="399"/>
      <c r="AF58" s="330"/>
      <c r="AG58" s="330"/>
      <c r="AH58" s="330"/>
      <c r="AI58" s="331"/>
      <c r="AJ58" s="330"/>
      <c r="AK58" s="331"/>
      <c r="AL58" s="365"/>
      <c r="AM58" s="365"/>
      <c r="AN58" s="365"/>
      <c r="AO58" s="365"/>
      <c r="AP58" s="365"/>
      <c r="AQ58" s="365"/>
    </row>
    <row r="59" s="423" customFormat="true" ht="24" hidden="true" customHeight="true" outlineLevel="0" collapsed="false">
      <c r="A59" s="305"/>
      <c r="B59" s="408" t="s">
        <v>72</v>
      </c>
      <c r="C59" s="409">
        <f aca="false">SUM(C49:C58)</f>
      </c>
      <c r="D59" s="410">
        <f aca="false">+$C$49*D49+$C$50*D50+$C$51*D51+$C$52*D52+$C$53*D53+$C$54*D54+$C$55*D55+$C$56*D56</f>
      </c>
      <c r="E59" s="411">
        <f aca="false">SUM(E49:E58)</f>
      </c>
      <c r="F59" s="412"/>
      <c r="G59" s="413"/>
      <c r="H59" s="414">
        <f aca="false">+$C$49*H49+$C$50*H50+$C$51*H51+$C$52*H52+$C$53*H53+$C$54*H54+$C$55*H55+$C$56*H56</f>
      </c>
      <c r="I59" s="388">
        <f aca="false">H59*0.3025</f>
      </c>
      <c r="J59" s="415"/>
      <c r="K59" s="415"/>
      <c r="L59" s="415"/>
      <c r="M59" s="415"/>
      <c r="N59" s="415"/>
      <c r="O59" s="415"/>
      <c r="P59" s="416">
        <f aca="false">SUM(P49:P58)</f>
      </c>
      <c r="Q59" s="388">
        <f aca="false">P59*0.3025</f>
      </c>
      <c r="R59" s="413">
        <f aca="false">P59*0.3025</f>
      </c>
      <c r="S59" s="417">
        <f aca="false">+Y36</f>
      </c>
      <c r="T59" s="413">
        <f aca="false">S59*0.3025</f>
      </c>
      <c r="U59" s="412">
        <f aca="false">+J59+P59+S59</f>
      </c>
      <c r="V59" s="388">
        <f aca="false">U59*0.3025</f>
      </c>
      <c r="W59" s="418"/>
      <c r="X59" s="388"/>
      <c r="Y59" s="387">
        <f aca="false">H59+U59</f>
      </c>
      <c r="Z59" s="388">
        <f aca="false">Y59*0.3025</f>
      </c>
      <c r="AA59" s="419"/>
      <c r="AB59" s="420">
        <f aca="false">SUM(AB49:AB58)</f>
      </c>
      <c r="AC59" s="388">
        <f aca="false">AB59*0.3025</f>
      </c>
      <c r="AD59" s="421"/>
      <c r="AE59" s="302"/>
      <c r="AF59" s="422"/>
      <c r="AG59" s="422"/>
      <c r="AH59" s="303"/>
      <c r="AI59" s="304"/>
      <c r="AJ59" s="303"/>
      <c r="AK59" s="304"/>
      <c r="AL59" s="85"/>
      <c r="AM59" s="85"/>
      <c r="AN59" s="85"/>
      <c r="AO59" s="85"/>
      <c r="AP59" s="85"/>
      <c r="AQ59" s="85"/>
    </row>
    <row r="60" s="423" customFormat="true" ht="10.5" hidden="true" customHeight="true" outlineLevel="0" collapsed="false">
      <c r="A60" s="305"/>
      <c r="B60" s="343"/>
      <c r="C60" s="424"/>
      <c r="D60" s="425"/>
      <c r="E60" s="426"/>
      <c r="F60" s="425"/>
      <c r="G60" s="329"/>
      <c r="H60" s="425"/>
      <c r="I60" s="329"/>
      <c r="J60" s="425"/>
      <c r="K60" s="425"/>
      <c r="L60" s="425"/>
      <c r="M60" s="425"/>
      <c r="N60" s="329"/>
      <c r="O60" s="329"/>
      <c r="P60" s="427"/>
      <c r="Q60" s="427"/>
      <c r="R60" s="427"/>
      <c r="S60" s="427"/>
      <c r="T60" s="427"/>
      <c r="U60" s="329"/>
      <c r="V60" s="425"/>
      <c r="W60" s="425"/>
      <c r="X60" s="329"/>
      <c r="Y60" s="425"/>
      <c r="Z60" s="329"/>
      <c r="AA60" s="428"/>
      <c r="AB60" s="392"/>
      <c r="AC60" s="302"/>
      <c r="AD60" s="302"/>
      <c r="AE60" s="302"/>
      <c r="AF60" s="303"/>
      <c r="AG60" s="303"/>
      <c r="AH60" s="303"/>
      <c r="AI60" s="304"/>
      <c r="AJ60" s="303"/>
      <c r="AK60" s="304"/>
      <c r="AL60" s="85"/>
      <c r="AM60" s="85"/>
      <c r="AN60" s="85"/>
      <c r="AO60" s="85"/>
      <c r="AP60" s="85"/>
      <c r="AQ60" s="85"/>
    </row>
    <row r="61" customFormat="false" ht="15.95" hidden="false" customHeight="true" outlineLevel="0" collapsed="false">
      <c r="A61" s="5"/>
      <c r="B61" s="85"/>
      <c r="C61" s="85"/>
      <c r="D61" s="85"/>
      <c r="E61" s="85"/>
      <c r="F61" s="85"/>
      <c r="G61" s="85"/>
      <c r="H61" s="85"/>
      <c r="I61" s="85"/>
      <c r="J61" s="85"/>
      <c r="K61" s="85" t="s">
        <v>90</v>
      </c>
      <c r="L61" s="85">
        <f aca="false">J37+L37</f>
      </c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131"/>
      <c r="AJ61" s="85"/>
      <c r="AK61" s="131"/>
      <c r="AL61" s="85"/>
      <c r="AM61" s="85"/>
      <c r="AN61" s="85"/>
      <c r="AO61" s="85"/>
      <c r="AP61" s="85"/>
      <c r="AQ61" s="85"/>
    </row>
    <row r="62" customFormat="false" ht="15.95" hidden="false" customHeight="true" outlineLevel="0" collapsed="false">
      <c r="A62" s="5"/>
      <c r="B62" s="85"/>
      <c r="C62" s="85"/>
      <c r="D62" s="85"/>
      <c r="E62" s="85"/>
      <c r="F62" s="85"/>
      <c r="G62" s="85">
        <f aca="false">N28/L61*J37</f>
      </c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131"/>
      <c r="AJ62" s="85"/>
      <c r="AK62" s="131"/>
      <c r="AL62" s="85"/>
      <c r="AM62" s="85"/>
      <c r="AN62" s="85"/>
      <c r="AO62" s="85"/>
      <c r="AP62" s="85"/>
      <c r="AQ62" s="85"/>
    </row>
    <row r="63" customFormat="false" ht="15.95" hidden="false" customHeight="true" outlineLevel="0" collapsed="false">
      <c r="A63" s="5"/>
      <c r="B63" s="85"/>
      <c r="C63" s="85"/>
      <c r="D63" s="85"/>
      <c r="E63" s="85"/>
      <c r="F63" s="85"/>
      <c r="G63" s="85">
        <f aca="false">N30+J37+G62</f>
      </c>
      <c r="H63" s="85"/>
      <c r="I63" s="85"/>
      <c r="J63" s="85"/>
      <c r="K63" s="85" t="s">
        <v>91</v>
      </c>
      <c r="L63" s="85">
        <f aca="false">N37/L61*J37+J37</f>
      </c>
      <c r="M63" s="102">
        <f aca="false">L63/P37</f>
      </c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131"/>
      <c r="AJ63" s="85"/>
      <c r="AK63" s="131"/>
      <c r="AL63" s="85"/>
      <c r="AM63" s="85"/>
      <c r="AN63" s="85"/>
      <c r="AO63" s="85"/>
      <c r="AP63" s="85"/>
      <c r="AQ63" s="85"/>
    </row>
    <row r="64" customFormat="false" ht="15.95" hidden="false" customHeight="true" outlineLevel="0" collapsed="false">
      <c r="A64" s="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131"/>
      <c r="AJ64" s="85"/>
      <c r="AK64" s="131"/>
      <c r="AL64" s="85"/>
      <c r="AM64" s="85"/>
      <c r="AN64" s="85"/>
      <c r="AO64" s="85"/>
      <c r="AP64" s="85"/>
      <c r="AQ64" s="85"/>
    </row>
    <row r="65" customFormat="false" ht="15.95" hidden="false" customHeight="true" outlineLevel="0" collapsed="false">
      <c r="A65" s="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>
        <f aca="false">+P65*1.5</f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131"/>
      <c r="AJ65" s="85"/>
      <c r="AK65" s="131"/>
      <c r="AL65" s="85"/>
      <c r="AM65" s="85"/>
      <c r="AN65" s="85"/>
      <c r="AO65" s="85"/>
      <c r="AP65" s="85"/>
      <c r="AQ65" s="85"/>
    </row>
    <row r="66" customFormat="false" ht="15.95" hidden="false" customHeight="true" outlineLevel="0" collapsed="false">
      <c r="A66" s="5"/>
      <c r="B66" s="85"/>
      <c r="C66" s="85"/>
      <c r="D66" s="85"/>
      <c r="E66" s="85"/>
      <c r="F66" s="85"/>
      <c r="G66" s="85"/>
      <c r="H66" s="429">
        <f aca="false">N37/L61*J37</f>
      </c>
      <c r="I66" s="429">
        <f aca="false">H66+J37</f>
      </c>
      <c r="J66" s="430">
        <f aca="false">I66/I68</f>
      </c>
      <c r="K66" s="85"/>
      <c r="L66" s="85">
        <f aca="false">+N37</f>
      </c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131"/>
      <c r="AJ66" s="85"/>
      <c r="AK66" s="131"/>
      <c r="AL66" s="85"/>
      <c r="AM66" s="85"/>
      <c r="AN66" s="85"/>
      <c r="AO66" s="85"/>
      <c r="AP66" s="85"/>
      <c r="AQ66" s="85"/>
    </row>
    <row r="67" customFormat="false" ht="15.95" hidden="false" customHeight="true" outlineLevel="0" collapsed="false">
      <c r="A67" s="5"/>
      <c r="B67" s="85"/>
      <c r="C67" s="85"/>
      <c r="D67" s="85"/>
      <c r="E67" s="85"/>
      <c r="F67" s="85"/>
      <c r="G67" s="85"/>
      <c r="H67" s="429">
        <f aca="false">N37/L61*L37</f>
      </c>
      <c r="I67" s="429">
        <f aca="false">H67+L37</f>
      </c>
      <c r="J67" s="430">
        <f aca="false">I67/I68</f>
      </c>
      <c r="K67" s="85">
        <f aca="false">+J37</f>
      </c>
      <c r="L67" s="85">
        <f aca="false">+L66*K67/K69</f>
      </c>
      <c r="M67" s="85">
        <f aca="false">+K67+L67</f>
      </c>
      <c r="N67" s="85">
        <f aca="false">+M67/M69</f>
      </c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131"/>
      <c r="AJ67" s="85"/>
      <c r="AK67" s="131"/>
      <c r="AL67" s="85"/>
      <c r="AM67" s="85"/>
      <c r="AN67" s="85"/>
      <c r="AO67" s="85"/>
      <c r="AP67" s="85"/>
      <c r="AQ67" s="85"/>
    </row>
    <row r="68" customFormat="false" ht="15.95" hidden="false" customHeight="true" outlineLevel="0" collapsed="false">
      <c r="A68" s="5"/>
      <c r="B68" s="85"/>
      <c r="C68" s="85"/>
      <c r="D68" s="85"/>
      <c r="E68" s="85"/>
      <c r="F68" s="85"/>
      <c r="G68" s="85"/>
      <c r="H68" s="429"/>
      <c r="I68" s="429">
        <f aca="false">SUM(I66:I67)</f>
      </c>
      <c r="J68" s="429"/>
      <c r="K68" s="85">
        <f aca="false">+L37</f>
      </c>
      <c r="L68" s="85">
        <f aca="false">+L66*K68/K69</f>
      </c>
      <c r="M68" s="85">
        <f aca="false">+K68+L68</f>
      </c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131"/>
      <c r="AJ68" s="85"/>
      <c r="AK68" s="131"/>
      <c r="AL68" s="85"/>
      <c r="AM68" s="85"/>
      <c r="AN68" s="85"/>
      <c r="AO68" s="85"/>
      <c r="AP68" s="85"/>
      <c r="AQ68" s="85"/>
    </row>
    <row r="69" customFormat="false" ht="15.95" hidden="false" customHeight="true" outlineLevel="0" collapsed="false">
      <c r="A69" s="5"/>
      <c r="B69" s="85"/>
      <c r="C69" s="85"/>
      <c r="D69" s="85"/>
      <c r="E69" s="85"/>
      <c r="F69" s="85"/>
      <c r="G69" s="85"/>
      <c r="H69" s="85"/>
      <c r="I69" s="85"/>
      <c r="J69" s="85"/>
      <c r="K69" s="85">
        <f aca="false">SUM(K67:K68)</f>
      </c>
      <c r="L69" s="85"/>
      <c r="M69" s="85">
        <f aca="false">SUM(M67:M68)</f>
      </c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131"/>
      <c r="AJ69" s="85"/>
      <c r="AK69" s="131"/>
      <c r="AL69" s="85"/>
      <c r="AM69" s="85"/>
      <c r="AN69" s="85"/>
      <c r="AO69" s="85"/>
      <c r="AP69" s="85"/>
      <c r="AQ69" s="85"/>
    </row>
    <row r="70" customFormat="false" ht="15.95" hidden="false" customHeight="true" outlineLevel="0" collapsed="false">
      <c r="A70" s="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131"/>
      <c r="AJ70" s="85"/>
      <c r="AK70" s="131"/>
      <c r="AL70" s="85"/>
      <c r="AM70" s="85"/>
      <c r="AN70" s="85"/>
      <c r="AO70" s="85"/>
      <c r="AP70" s="85"/>
      <c r="AQ70" s="85"/>
    </row>
    <row r="71" customFormat="false" ht="15.95" hidden="false" customHeight="true" outlineLevel="0" collapsed="false">
      <c r="A71" s="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131"/>
      <c r="AJ71" s="85"/>
      <c r="AK71" s="131"/>
      <c r="AL71" s="85"/>
      <c r="AM71" s="85"/>
      <c r="AN71" s="85"/>
      <c r="AO71" s="85"/>
      <c r="AP71" s="85"/>
      <c r="AQ71" s="85"/>
    </row>
    <row r="72" customFormat="false" ht="15.95" hidden="false" customHeight="true" outlineLevel="0" collapsed="false">
      <c r="A72" s="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131"/>
      <c r="AJ72" s="85"/>
      <c r="AK72" s="131"/>
      <c r="AL72" s="85"/>
      <c r="AM72" s="85"/>
      <c r="AN72" s="85"/>
      <c r="AO72" s="85"/>
      <c r="AP72" s="85"/>
      <c r="AQ72" s="85"/>
    </row>
    <row r="73" customFormat="false" ht="15.95" hidden="false" customHeight="true" outlineLevel="0" collapsed="false">
      <c r="A73" s="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131"/>
      <c r="AJ73" s="85"/>
      <c r="AK73" s="131"/>
      <c r="AL73" s="85"/>
      <c r="AM73" s="85"/>
      <c r="AN73" s="85"/>
      <c r="AO73" s="85"/>
      <c r="AP73" s="85"/>
      <c r="AQ73" s="85"/>
    </row>
    <row r="74" customFormat="false" ht="15.95" hidden="false" customHeight="true" outlineLevel="0" collapsed="false">
      <c r="A74" s="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131"/>
      <c r="AJ74" s="85"/>
      <c r="AK74" s="131"/>
      <c r="AL74" s="85"/>
      <c r="AM74" s="85"/>
      <c r="AN74" s="85"/>
      <c r="AO74" s="85"/>
      <c r="AP74" s="85"/>
      <c r="AQ74" s="85"/>
    </row>
    <row r="75" customFormat="false" ht="15.95" hidden="false" customHeight="true" outlineLevel="0" collapsed="false">
      <c r="A75" s="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131"/>
      <c r="AJ75" s="85"/>
      <c r="AK75" s="131"/>
      <c r="AL75" s="85"/>
      <c r="AM75" s="85"/>
      <c r="AN75" s="85"/>
      <c r="AO75" s="85"/>
      <c r="AP75" s="85"/>
      <c r="AQ75" s="85"/>
    </row>
    <row r="76" customFormat="false" ht="15.95" hidden="false" customHeight="true" outlineLevel="0" collapsed="false">
      <c r="A76" s="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131"/>
      <c r="AJ76" s="85"/>
      <c r="AK76" s="131"/>
      <c r="AL76" s="85"/>
      <c r="AM76" s="85"/>
      <c r="AN76" s="85"/>
      <c r="AO76" s="85"/>
      <c r="AP76" s="85"/>
      <c r="AQ76" s="85"/>
    </row>
    <row r="77" customFormat="false" ht="15.95" hidden="false" customHeight="true" outlineLevel="0" collapsed="false">
      <c r="A77" s="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131"/>
      <c r="AJ77" s="85"/>
      <c r="AK77" s="131"/>
      <c r="AL77" s="85"/>
      <c r="AM77" s="85"/>
      <c r="AN77" s="85"/>
      <c r="AO77" s="85"/>
      <c r="AP77" s="85"/>
      <c r="AQ77" s="85"/>
    </row>
    <row r="78" customFormat="false" ht="15.95" hidden="false" customHeight="true" outlineLevel="0" collapsed="false">
      <c r="A78" s="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131"/>
      <c r="AJ78" s="85"/>
      <c r="AK78" s="131"/>
      <c r="AL78" s="85"/>
      <c r="AM78" s="85"/>
      <c r="AN78" s="85"/>
      <c r="AO78" s="85"/>
      <c r="AP78" s="85"/>
      <c r="AQ78" s="85"/>
    </row>
    <row r="79" customFormat="false" ht="15.95" hidden="false" customHeight="true" outlineLevel="0" collapsed="false">
      <c r="A79" s="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131"/>
      <c r="AJ79" s="85"/>
      <c r="AK79" s="131"/>
      <c r="AL79" s="85"/>
      <c r="AM79" s="85"/>
      <c r="AN79" s="85"/>
      <c r="AO79" s="85"/>
      <c r="AP79" s="85"/>
      <c r="AQ79" s="85"/>
    </row>
    <row r="80" customFormat="false" ht="15.95" hidden="false" customHeight="true" outlineLevel="0" collapsed="false">
      <c r="A80" s="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131"/>
      <c r="AJ80" s="85"/>
      <c r="AK80" s="131"/>
      <c r="AL80" s="85"/>
      <c r="AM80" s="85"/>
      <c r="AN80" s="85"/>
      <c r="AO80" s="85"/>
      <c r="AP80" s="85"/>
      <c r="AQ80" s="85"/>
    </row>
    <row r="81" customFormat="false" ht="15.95" hidden="false" customHeight="true" outlineLevel="0" collapsed="false">
      <c r="A81" s="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131"/>
      <c r="AJ81" s="85"/>
      <c r="AK81" s="131"/>
      <c r="AL81" s="85"/>
      <c r="AM81" s="85"/>
      <c r="AN81" s="85"/>
      <c r="AO81" s="85"/>
      <c r="AP81" s="85"/>
      <c r="AQ81" s="85"/>
    </row>
    <row r="82" customFormat="false" ht="15.95" hidden="false" customHeight="true" outlineLevel="0" collapsed="false">
      <c r="A82" s="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131"/>
      <c r="AJ82" s="85"/>
      <c r="AK82" s="131"/>
      <c r="AL82" s="85"/>
      <c r="AM82" s="85"/>
      <c r="AN82" s="85"/>
      <c r="AO82" s="85"/>
      <c r="AP82" s="85"/>
    </row>
    <row r="83" customFormat="false" ht="15.95" hidden="false" customHeight="true" outlineLevel="0" collapsed="false"/>
    <row r="84" customFormat="false" ht="15.95" hidden="false" customHeight="true" outlineLevel="0" collapsed="false"/>
    <row r="85" customFormat="false" ht="15.95" hidden="false" customHeight="true" outlineLevel="0" collapsed="false"/>
    <row r="86" customFormat="false" ht="15.95" hidden="false" customHeight="true" outlineLevel="0" collapsed="false"/>
    <row r="87" s="1" customFormat="true" ht="15.95" hidden="false" customHeight="true" outlineLevel="0" collapsed="false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3"/>
      <c r="AJ87" s="2"/>
      <c r="AK87" s="3"/>
      <c r="AL87" s="2"/>
      <c r="AM87" s="2"/>
      <c r="AN87" s="2"/>
      <c r="AO87" s="2"/>
      <c r="AP87" s="2"/>
      <c r="AQ87" s="2"/>
      <c r="AR87" s="2"/>
    </row>
    <row r="88" s="1" customFormat="true" ht="15.95" hidden="false" customHeight="true" outlineLevel="0" collapsed="false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3"/>
      <c r="AJ88" s="2"/>
      <c r="AK88" s="3"/>
      <c r="AL88" s="2"/>
      <c r="AM88" s="2"/>
      <c r="AN88" s="2"/>
      <c r="AO88" s="2"/>
      <c r="AP88" s="2"/>
      <c r="AQ88" s="2"/>
      <c r="AR88" s="2"/>
    </row>
    <row r="89" s="1" customFormat="true" ht="15.95" hidden="false" customHeight="true" outlineLevel="0" collapsed="false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3"/>
      <c r="AJ89" s="2"/>
      <c r="AK89" s="3"/>
      <c r="AL89" s="2"/>
      <c r="AM89" s="2"/>
      <c r="AN89" s="2"/>
      <c r="AO89" s="2"/>
      <c r="AP89" s="2"/>
      <c r="AQ89" s="2"/>
      <c r="AR89" s="2"/>
    </row>
  </sheetData>
  <mergeCells count="74">
    <mergeCell ref="B2:C2"/>
    <mergeCell ref="B3:C3"/>
    <mergeCell ref="C6:G6"/>
    <mergeCell ref="C7:F7"/>
    <mergeCell ref="I7:I8"/>
    <mergeCell ref="J7:K7"/>
    <mergeCell ref="L7:M7"/>
    <mergeCell ref="N7:O7"/>
    <mergeCell ref="P7:Q7"/>
    <mergeCell ref="R7:T7"/>
    <mergeCell ref="U7:W7"/>
    <mergeCell ref="X7:X8"/>
    <mergeCell ref="Y7:Y8"/>
    <mergeCell ref="Z7:Z8"/>
    <mergeCell ref="AA7:AA8"/>
    <mergeCell ref="AB7:AD8"/>
    <mergeCell ref="AE7:AE8"/>
    <mergeCell ref="D8:F8"/>
    <mergeCell ref="C9:C15"/>
    <mergeCell ref="AB9:AD9"/>
    <mergeCell ref="AB13:AD13"/>
    <mergeCell ref="D16:G16"/>
    <mergeCell ref="D18:G18"/>
    <mergeCell ref="D19:F19"/>
    <mergeCell ref="AB25:AD26"/>
    <mergeCell ref="AB27:AD27"/>
    <mergeCell ref="AB28:AD28"/>
    <mergeCell ref="AB29:AD29"/>
    <mergeCell ref="AB30:AD30"/>
    <mergeCell ref="E31:F31"/>
    <mergeCell ref="AB31:AD31"/>
    <mergeCell ref="E32:F32"/>
    <mergeCell ref="AB32:AD32"/>
    <mergeCell ref="AB33:AD33"/>
    <mergeCell ref="AB34:AD34"/>
    <mergeCell ref="AB35:AD35"/>
    <mergeCell ref="AB36:AD36"/>
    <mergeCell ref="AB37:AD38"/>
    <mergeCell ref="C41:D41"/>
    <mergeCell ref="E41:F41"/>
    <mergeCell ref="G41:H41"/>
    <mergeCell ref="I41:J41"/>
    <mergeCell ref="N41:P41"/>
    <mergeCell ref="U41:V41"/>
    <mergeCell ref="X41:Y41"/>
    <mergeCell ref="B46:F46"/>
    <mergeCell ref="B47:B48"/>
    <mergeCell ref="C47:C48"/>
    <mergeCell ref="D47:D48"/>
    <mergeCell ref="E47:E48"/>
    <mergeCell ref="F47:G47"/>
    <mergeCell ref="H47:I48"/>
    <mergeCell ref="J47:O47"/>
    <mergeCell ref="P47:Q47"/>
    <mergeCell ref="Y47:Z48"/>
    <mergeCell ref="AA47:AA48"/>
    <mergeCell ref="AB47:AC48"/>
    <mergeCell ref="AD47:AD48"/>
    <mergeCell ref="F48:G48"/>
    <mergeCell ref="J48:O48"/>
    <mergeCell ref="P48:Q48"/>
    <mergeCell ref="S48:T48"/>
    <mergeCell ref="U48:V48"/>
    <mergeCell ref="J49:O49"/>
    <mergeCell ref="J50:O50"/>
    <mergeCell ref="J51:O51"/>
    <mergeCell ref="J52:O52"/>
    <mergeCell ref="J53:O53"/>
    <mergeCell ref="J54:O54"/>
    <mergeCell ref="J55:O55"/>
    <mergeCell ref="J56:O56"/>
    <mergeCell ref="J57:O57"/>
    <mergeCell ref="J58:O58"/>
    <mergeCell ref="J59:O59"/>
  </mergeCells>
  <printOptions headings="false" gridLines="false" gridLinesSet="true" horizontalCentered="true" verticalCentered="false"/>
  <pageMargins left="0.747916666666667" right="0.747916666666667" top="0.590277777777778" bottom="0.5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AT89"/>
  <sheetViews>
    <sheetView showFormulas="false" showGridLines="false" showRowColHeaders="true" showZeros="true" rightToLeft="false" tabSelected="false" showOutlineSymbols="true" defaultGridColor="true" view="pageBreakPreview" topLeftCell="A17" colorId="64" zoomScale="85" zoomScaleNormal="130" zoomScalePageLayoutView="85" workbookViewId="0">
      <selection pane="topLeft" activeCell="AB30" activeCellId="0" sqref="AB30:AD30"/>
    </sheetView>
  </sheetViews>
  <sheetFormatPr defaultColWidth="8.8828125" defaultRowHeight="13.5" zeroHeight="false" outlineLevelRow="0" outlineLevelCol="0"/>
  <cols>
    <col collapsed="false" customWidth="true" hidden="false" outlineLevel="0" max="1" min="1" style="1" width="3.77"/>
    <col collapsed="false" customWidth="true" hidden="false" outlineLevel="0" max="5" min="2" style="2" width="12.11"/>
    <col collapsed="false" customWidth="true" hidden="false" outlineLevel="0" max="6" min="6" style="2" width="13.77"/>
    <col collapsed="false" customWidth="true" hidden="false" outlineLevel="0" max="7" min="7" style="2" width="15.55"/>
    <col collapsed="false" customWidth="true" hidden="false" outlineLevel="0" max="9" min="8" style="2" width="12.11"/>
    <col collapsed="false" customWidth="true" hidden="false" outlineLevel="0" max="17" min="10" style="2" width="13.11"/>
    <col collapsed="false" customWidth="true" hidden="true" outlineLevel="0" max="27" min="18" style="2" width="12.11"/>
    <col collapsed="false" customWidth="true" hidden="false" outlineLevel="0" max="28" min="28" style="2" width="12.44"/>
    <col collapsed="false" customWidth="true" hidden="false" outlineLevel="0" max="29" min="29" style="2" width="8.44"/>
    <col collapsed="false" customWidth="true" hidden="false" outlineLevel="0" max="30" min="30" style="2" width="6.32"/>
    <col collapsed="false" customWidth="true" hidden="false" outlineLevel="0" max="31" min="31" style="2" width="3.33"/>
    <col collapsed="false" customWidth="true" hidden="false" outlineLevel="0" max="32" min="32" style="2" width="8.99"/>
    <col collapsed="false" customWidth="true" hidden="false" outlineLevel="0" max="33" min="33" style="2" width="7.88"/>
    <col collapsed="false" customWidth="true" hidden="false" outlineLevel="0" max="34" min="34" style="2" width="8.99"/>
    <col collapsed="false" customWidth="true" hidden="false" outlineLevel="0" max="35" min="35" style="3" width="7.88"/>
    <col collapsed="false" customWidth="true" hidden="false" outlineLevel="0" max="36" min="36" style="2" width="8.99"/>
    <col collapsed="false" customWidth="true" hidden="false" outlineLevel="0" max="37" min="37" style="3" width="6.1"/>
    <col collapsed="false" customWidth="true" hidden="false" outlineLevel="0" max="38" min="38" style="2" width="8.99"/>
    <col collapsed="false" customWidth="true" hidden="false" outlineLevel="0" max="41" min="39" style="2" width="5.21"/>
    <col collapsed="false" customWidth="true" hidden="false" outlineLevel="0" max="42" min="42" style="2" width="11.11"/>
    <col collapsed="false" customWidth="true" hidden="false" outlineLevel="0" max="43" min="43" style="2" width="2.32"/>
    <col collapsed="false" customWidth="true" hidden="false" outlineLevel="0" max="56" min="44" style="2" width="9.77"/>
    <col collapsed="false" customWidth="false" hidden="false" outlineLevel="0" max="257" min="57" style="2" width="8.88"/>
  </cols>
  <sheetData>
    <row r="1" customFormat="false" ht="24" hidden="false" customHeight="true" outlineLevel="0" collapsed="false">
      <c r="D1" s="3" t="s">
        <v>0</v>
      </c>
      <c r="E1" s="3" t="s">
        <v>1</v>
      </c>
    </row>
    <row r="2" customFormat="false" ht="24" hidden="false" customHeight="true" outlineLevel="0" collapsed="false">
      <c r="B2" s="4" t="s">
        <v>2</v>
      </c>
      <c r="C2" s="4"/>
      <c r="D2" s="2">
        <f aca="false">+E15*F24</f>
      </c>
      <c r="E2" s="2">
        <f aca="false">+D2*0.3025</f>
      </c>
      <c r="I2" s="2"/>
      <c r="U2" s="2"/>
    </row>
    <row r="3" customFormat="false" ht="24" hidden="false" customHeight="true" outlineLevel="0" collapsed="false">
      <c r="B3" s="4" t="s">
        <v>3</v>
      </c>
      <c r="C3" s="4"/>
      <c r="D3" s="2">
        <f aca="false">+E15*F25</f>
      </c>
      <c r="E3" s="2">
        <f aca="false">+D3*0.3025</f>
      </c>
      <c r="F3" s="2">
        <f aca="false">+D3*0.015</f>
      </c>
      <c r="G3" s="2">
        <f aca="false">+F3/12</f>
      </c>
      <c r="I3" s="2">
        <f aca="false">+D3/D2</f>
      </c>
      <c r="N3" s="2">
        <f aca="false">+E15/2</f>
      </c>
      <c r="P3" s="2">
        <f aca="false">+N3*0.6</f>
      </c>
      <c r="R3" s="2"/>
      <c r="S3" s="2">
        <f aca="false">+R3*0.3025</f>
      </c>
    </row>
    <row r="4" customFormat="false" ht="24" hidden="false" customHeight="true" outlineLevel="0" collapsed="false">
      <c r="D4" s="2">
        <f aca="false">+P29</f>
      </c>
      <c r="E4" s="2">
        <f aca="false">+D3-D4</f>
      </c>
      <c r="T4" s="2"/>
      <c r="U4" s="2"/>
      <c r="V4" s="2"/>
      <c r="W4" s="2">
        <f aca="false">+T4+U4</f>
      </c>
      <c r="X4" s="2">
        <f aca="false">+W4-V4</f>
      </c>
    </row>
    <row r="5" customFormat="false" ht="24" hidden="false" customHeight="true" outlineLevel="0" collapsed="false">
      <c r="A5" s="5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8" t="s">
        <v>4</v>
      </c>
      <c r="AE5" s="8"/>
      <c r="AF5" s="7"/>
      <c r="AG5" s="7"/>
      <c r="AH5" s="7"/>
      <c r="AI5" s="9"/>
      <c r="AJ5" s="7"/>
      <c r="AK5" s="9"/>
      <c r="AL5" s="85"/>
      <c r="AM5" s="85"/>
      <c r="AN5" s="85"/>
      <c r="AO5" s="85"/>
      <c r="AP5" s="85"/>
      <c r="AQ5" s="11"/>
      <c r="AR5" s="11"/>
    </row>
    <row r="6" customFormat="false" ht="24" hidden="false" customHeight="true" outlineLevel="0" collapsed="false">
      <c r="A6" s="12"/>
      <c r="B6" s="13" t="s">
        <v>5</v>
      </c>
      <c r="C6" s="14" t="s">
        <v>6</v>
      </c>
      <c r="D6" s="14"/>
      <c r="E6" s="14"/>
      <c r="F6" s="14"/>
      <c r="G6" s="14"/>
      <c r="H6" s="13"/>
      <c r="I6" s="13" t="s">
        <v>7</v>
      </c>
      <c r="J6" s="13"/>
      <c r="K6" s="13"/>
      <c r="L6" s="13"/>
      <c r="M6" s="13">
        <f aca="false">+L6/65</f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7"/>
      <c r="AB6" s="16"/>
      <c r="AC6" s="17"/>
      <c r="AD6" s="17" t="s">
        <v>8</v>
      </c>
      <c r="AE6" s="17"/>
      <c r="AF6" s="85"/>
      <c r="AG6" s="85"/>
      <c r="AH6" s="85"/>
      <c r="AI6" s="131"/>
      <c r="AJ6" s="85"/>
      <c r="AK6" s="131"/>
      <c r="AL6" s="19"/>
      <c r="AM6" s="19"/>
      <c r="AN6" s="19"/>
      <c r="AO6" s="19"/>
      <c r="AP6" s="20"/>
      <c r="AQ6" s="20"/>
      <c r="AR6" s="20"/>
    </row>
    <row r="7" customFormat="false" ht="24" hidden="false" customHeight="true" outlineLevel="0" collapsed="false">
      <c r="A7" s="12"/>
      <c r="B7" s="21" t="s">
        <v>9</v>
      </c>
      <c r="C7" s="22" t="s">
        <v>10</v>
      </c>
      <c r="D7" s="22"/>
      <c r="E7" s="22"/>
      <c r="F7" s="22"/>
      <c r="G7" s="23"/>
      <c r="H7" s="16"/>
      <c r="I7" s="24"/>
      <c r="J7" s="25" t="s">
        <v>11</v>
      </c>
      <c r="K7" s="25"/>
      <c r="L7" s="25" t="s">
        <v>12</v>
      </c>
      <c r="M7" s="25"/>
      <c r="N7" s="26" t="s">
        <v>13</v>
      </c>
      <c r="O7" s="26"/>
      <c r="P7" s="27" t="s">
        <v>14</v>
      </c>
      <c r="Q7" s="27"/>
      <c r="R7" s="28" t="s">
        <v>11</v>
      </c>
      <c r="S7" s="28"/>
      <c r="T7" s="28"/>
      <c r="U7" s="29" t="s">
        <v>15</v>
      </c>
      <c r="V7" s="29"/>
      <c r="W7" s="29"/>
      <c r="X7" s="30" t="s">
        <v>16</v>
      </c>
      <c r="Y7" s="31" t="s">
        <v>17</v>
      </c>
      <c r="Z7" s="32" t="s">
        <v>18</v>
      </c>
      <c r="AA7" s="33" t="s">
        <v>19</v>
      </c>
      <c r="AB7" s="34" t="s">
        <v>20</v>
      </c>
      <c r="AC7" s="34"/>
      <c r="AD7" s="34"/>
      <c r="AE7" s="35"/>
      <c r="AF7" s="85"/>
      <c r="AG7" s="85"/>
      <c r="AH7" s="85"/>
      <c r="AI7" s="131"/>
      <c r="AJ7" s="85"/>
      <c r="AK7" s="131"/>
      <c r="AL7" s="36"/>
      <c r="AM7" s="36"/>
      <c r="AN7" s="36"/>
      <c r="AO7" s="36"/>
      <c r="AP7" s="20"/>
      <c r="AQ7" s="20"/>
      <c r="AR7" s="20"/>
    </row>
    <row r="8" customFormat="false" ht="24" hidden="false" customHeight="true" outlineLevel="0" collapsed="false">
      <c r="A8" s="37"/>
      <c r="B8" s="38" t="s">
        <v>21</v>
      </c>
      <c r="C8" s="39" t="s">
        <v>22</v>
      </c>
      <c r="D8" s="40" t="s">
        <v>92</v>
      </c>
      <c r="E8" s="40"/>
      <c r="F8" s="40"/>
      <c r="G8" s="41"/>
      <c r="H8" s="16"/>
      <c r="I8" s="24"/>
      <c r="J8" s="42" t="s">
        <v>23</v>
      </c>
      <c r="K8" s="43" t="s">
        <v>24</v>
      </c>
      <c r="L8" s="42" t="s">
        <v>23</v>
      </c>
      <c r="M8" s="43" t="s">
        <v>24</v>
      </c>
      <c r="N8" s="44" t="s">
        <v>23</v>
      </c>
      <c r="O8" s="44" t="s">
        <v>24</v>
      </c>
      <c r="P8" s="44" t="s">
        <v>23</v>
      </c>
      <c r="Q8" s="45" t="s">
        <v>24</v>
      </c>
      <c r="R8" s="46" t="s">
        <v>25</v>
      </c>
      <c r="S8" s="47" t="s">
        <v>13</v>
      </c>
      <c r="T8" s="48" t="s">
        <v>14</v>
      </c>
      <c r="U8" s="49" t="s">
        <v>25</v>
      </c>
      <c r="V8" s="47" t="s">
        <v>13</v>
      </c>
      <c r="W8" s="50" t="s">
        <v>14</v>
      </c>
      <c r="X8" s="30"/>
      <c r="Y8" s="31"/>
      <c r="Z8" s="32"/>
      <c r="AA8" s="33"/>
      <c r="AB8" s="34"/>
      <c r="AC8" s="34"/>
      <c r="AD8" s="34"/>
      <c r="AE8" s="35"/>
      <c r="AF8" s="85"/>
      <c r="AG8" s="85"/>
      <c r="AH8" s="85"/>
      <c r="AI8" s="131"/>
      <c r="AJ8" s="85"/>
      <c r="AK8" s="131"/>
      <c r="AL8" s="36"/>
      <c r="AM8" s="36"/>
      <c r="AN8" s="36"/>
      <c r="AO8" s="36"/>
      <c r="AP8" s="20"/>
      <c r="AQ8" s="20"/>
      <c r="AR8" s="20"/>
    </row>
    <row r="9" customFormat="false" ht="24" hidden="false" customHeight="true" outlineLevel="0" collapsed="false">
      <c r="A9" s="12"/>
      <c r="B9" s="259"/>
      <c r="C9" s="52" t="s">
        <v>26</v>
      </c>
      <c r="D9" s="82">
        <f aca="false">+토지내역!B3</f>
      </c>
      <c r="E9" s="54">
        <f aca="false">+토지내역!C3</f>
      </c>
      <c r="F9" s="55">
        <f aca="false">E9*0.3025</f>
      </c>
      <c r="G9" s="56"/>
      <c r="H9" s="16"/>
      <c r="I9" s="57"/>
      <c r="J9" s="58"/>
      <c r="K9" s="59"/>
      <c r="L9" s="58"/>
      <c r="M9" s="59"/>
      <c r="N9" s="59"/>
      <c r="O9" s="60"/>
      <c r="P9" s="61"/>
      <c r="Q9" s="62"/>
      <c r="R9" s="63"/>
      <c r="S9" s="64"/>
      <c r="T9" s="65"/>
      <c r="U9" s="66"/>
      <c r="V9" s="67"/>
      <c r="W9" s="68"/>
      <c r="X9" s="66"/>
      <c r="Y9" s="67"/>
      <c r="Z9" s="68"/>
      <c r="AA9" s="69"/>
      <c r="AB9" s="432"/>
      <c r="AC9" s="432"/>
      <c r="AD9" s="432"/>
      <c r="AE9" s="71"/>
      <c r="AF9" s="85"/>
      <c r="AG9" s="85"/>
      <c r="AH9" s="85"/>
      <c r="AI9" s="131"/>
      <c r="AJ9" s="85"/>
      <c r="AK9" s="131"/>
      <c r="AL9" s="36"/>
      <c r="AM9" s="36"/>
      <c r="AN9" s="36"/>
      <c r="AO9" s="36"/>
      <c r="AP9" s="72"/>
      <c r="AQ9" s="73"/>
      <c r="AR9" s="73"/>
    </row>
    <row r="10" customFormat="false" ht="24" hidden="false" customHeight="true" outlineLevel="0" collapsed="false">
      <c r="A10" s="12"/>
      <c r="B10" s="259"/>
      <c r="C10" s="52"/>
      <c r="D10" s="82">
        <f aca="false">+토지내역!B4</f>
      </c>
      <c r="E10" s="54">
        <f aca="false">+토지내역!C4</f>
      </c>
      <c r="F10" s="55">
        <f aca="false">E10*0.3025</f>
      </c>
      <c r="G10" s="56"/>
      <c r="H10" s="16"/>
      <c r="I10" s="57"/>
      <c r="J10" s="74"/>
      <c r="K10" s="75"/>
      <c r="L10" s="74"/>
      <c r="M10" s="75"/>
      <c r="N10" s="75"/>
      <c r="O10" s="60"/>
      <c r="P10" s="61"/>
      <c r="Q10" s="62"/>
      <c r="R10" s="59"/>
      <c r="S10" s="64"/>
      <c r="T10" s="76"/>
      <c r="U10" s="74"/>
      <c r="V10" s="77"/>
      <c r="W10" s="78"/>
      <c r="X10" s="58"/>
      <c r="Y10" s="64"/>
      <c r="Z10" s="79"/>
      <c r="AA10" s="80"/>
      <c r="AB10" s="81"/>
      <c r="AC10" s="81"/>
      <c r="AD10" s="81"/>
      <c r="AE10" s="71"/>
      <c r="AF10" s="85"/>
      <c r="AG10" s="85"/>
      <c r="AH10" s="85"/>
      <c r="AI10" s="131"/>
      <c r="AJ10" s="85"/>
      <c r="AK10" s="131"/>
      <c r="AL10" s="36"/>
      <c r="AM10" s="36"/>
      <c r="AN10" s="36"/>
      <c r="AO10" s="36"/>
      <c r="AP10" s="72"/>
      <c r="AQ10" s="73"/>
      <c r="AR10" s="73"/>
    </row>
    <row r="11" customFormat="false" ht="24" hidden="false" customHeight="true" outlineLevel="0" collapsed="false">
      <c r="A11" s="12"/>
      <c r="B11" s="259"/>
      <c r="C11" s="52"/>
      <c r="D11" s="82">
        <f aca="false">+토지내역!B5</f>
      </c>
      <c r="E11" s="54">
        <f aca="false">+토지내역!C5</f>
      </c>
      <c r="F11" s="55">
        <f aca="false">E11*0.3025</f>
      </c>
      <c r="G11" s="56"/>
      <c r="H11" s="16"/>
      <c r="I11" s="57"/>
      <c r="J11" s="74"/>
      <c r="K11" s="75"/>
      <c r="L11" s="74"/>
      <c r="M11" s="75"/>
      <c r="N11" s="75"/>
      <c r="O11" s="60"/>
      <c r="P11" s="61"/>
      <c r="Q11" s="62"/>
      <c r="R11" s="59"/>
      <c r="S11" s="64"/>
      <c r="T11" s="76"/>
      <c r="U11" s="74"/>
      <c r="V11" s="77"/>
      <c r="W11" s="78"/>
      <c r="X11" s="58"/>
      <c r="Y11" s="64"/>
      <c r="Z11" s="79"/>
      <c r="AA11" s="80"/>
      <c r="AB11" s="81"/>
      <c r="AC11" s="81"/>
      <c r="AD11" s="81"/>
      <c r="AE11" s="71"/>
      <c r="AF11" s="85"/>
      <c r="AG11" s="85"/>
      <c r="AH11" s="85"/>
      <c r="AI11" s="131"/>
      <c r="AJ11" s="85"/>
      <c r="AK11" s="131"/>
      <c r="AL11" s="36"/>
      <c r="AM11" s="36"/>
      <c r="AN11" s="36"/>
      <c r="AO11" s="36"/>
      <c r="AP11" s="72"/>
      <c r="AQ11" s="73"/>
      <c r="AR11" s="73"/>
    </row>
    <row r="12" customFormat="false" ht="24" hidden="false" customHeight="true" outlineLevel="0" collapsed="false">
      <c r="A12" s="12"/>
      <c r="B12" s="259"/>
      <c r="C12" s="52"/>
      <c r="D12" s="82">
        <f aca="false">+토지내역!B6</f>
      </c>
      <c r="E12" s="54">
        <f aca="false">+토지내역!C6</f>
      </c>
      <c r="F12" s="55">
        <f aca="false">E12*0.3025</f>
      </c>
      <c r="G12" s="56"/>
      <c r="H12" s="16"/>
      <c r="I12" s="57"/>
      <c r="J12" s="74"/>
      <c r="K12" s="75"/>
      <c r="L12" s="74"/>
      <c r="M12" s="75"/>
      <c r="N12" s="75"/>
      <c r="O12" s="60"/>
      <c r="P12" s="61"/>
      <c r="Q12" s="62"/>
      <c r="R12" s="59"/>
      <c r="S12" s="64"/>
      <c r="T12" s="76"/>
      <c r="U12" s="74"/>
      <c r="V12" s="77"/>
      <c r="W12" s="78"/>
      <c r="X12" s="58"/>
      <c r="Y12" s="64"/>
      <c r="Z12" s="79"/>
      <c r="AA12" s="80"/>
      <c r="AB12" s="81"/>
      <c r="AC12" s="81"/>
      <c r="AD12" s="81"/>
      <c r="AE12" s="71"/>
      <c r="AF12" s="85"/>
      <c r="AG12" s="85"/>
      <c r="AH12" s="85"/>
      <c r="AI12" s="131"/>
      <c r="AJ12" s="85"/>
      <c r="AK12" s="131"/>
      <c r="AL12" s="36"/>
      <c r="AM12" s="36"/>
      <c r="AN12" s="36"/>
      <c r="AO12" s="36"/>
      <c r="AP12" s="72"/>
      <c r="AQ12" s="73"/>
      <c r="AR12" s="73"/>
    </row>
    <row r="13" customFormat="false" ht="24" hidden="false" customHeight="true" outlineLevel="0" collapsed="false">
      <c r="A13" s="12"/>
      <c r="B13" s="259"/>
      <c r="C13" s="52"/>
      <c r="D13" s="82" t="s">
        <v>27</v>
      </c>
      <c r="E13" s="54">
        <f aca="false">+토지내역!C28</f>
      </c>
      <c r="F13" s="55">
        <f aca="false">E13*0.3025</f>
      </c>
      <c r="G13" s="56"/>
      <c r="H13" s="16"/>
      <c r="I13" s="57"/>
      <c r="J13" s="74"/>
      <c r="K13" s="75"/>
      <c r="L13" s="74"/>
      <c r="M13" s="75"/>
      <c r="N13" s="75"/>
      <c r="O13" s="60"/>
      <c r="P13" s="61"/>
      <c r="Q13" s="62"/>
      <c r="R13" s="75"/>
      <c r="S13" s="77"/>
      <c r="T13" s="76"/>
      <c r="U13" s="74"/>
      <c r="V13" s="77"/>
      <c r="W13" s="78"/>
      <c r="X13" s="58"/>
      <c r="Y13" s="64"/>
      <c r="Z13" s="79"/>
      <c r="AA13" s="80"/>
      <c r="AB13" s="83"/>
      <c r="AC13" s="83"/>
      <c r="AD13" s="83"/>
      <c r="AE13" s="84"/>
      <c r="AF13" s="85"/>
      <c r="AG13" s="85"/>
      <c r="AH13" s="85"/>
      <c r="AI13" s="131"/>
      <c r="AJ13" s="85"/>
      <c r="AK13" s="131"/>
      <c r="AL13" s="36"/>
      <c r="AM13" s="36"/>
      <c r="AN13" s="36"/>
      <c r="AO13" s="36"/>
      <c r="AP13" s="20"/>
      <c r="AQ13" s="86"/>
      <c r="AR13" s="86"/>
    </row>
    <row r="14" customFormat="false" ht="24" hidden="false" customHeight="true" outlineLevel="0" collapsed="false">
      <c r="A14" s="12"/>
      <c r="B14" s="259"/>
      <c r="C14" s="52"/>
      <c r="D14" s="82" t="s">
        <v>27</v>
      </c>
      <c r="E14" s="54">
        <f aca="false">+토지내역!C26</f>
      </c>
      <c r="F14" s="55">
        <f aca="false">E14*0.3025</f>
      </c>
      <c r="G14" s="56"/>
      <c r="H14" s="16"/>
      <c r="I14" s="57"/>
      <c r="J14" s="87"/>
      <c r="K14" s="88"/>
      <c r="L14" s="87"/>
      <c r="M14" s="88"/>
      <c r="N14" s="88"/>
      <c r="O14" s="89"/>
      <c r="P14" s="90"/>
      <c r="Q14" s="91"/>
      <c r="R14" s="75"/>
      <c r="S14" s="77"/>
      <c r="T14" s="92"/>
      <c r="U14" s="74"/>
      <c r="V14" s="93"/>
      <c r="W14" s="94"/>
      <c r="X14" s="74"/>
      <c r="Y14" s="77"/>
      <c r="Z14" s="78"/>
      <c r="AA14" s="95"/>
      <c r="AB14" s="96"/>
      <c r="AC14" s="97"/>
      <c r="AD14" s="97"/>
      <c r="AE14" s="71"/>
      <c r="AF14" s="85"/>
      <c r="AG14" s="85"/>
      <c r="AH14" s="85"/>
      <c r="AI14" s="131"/>
      <c r="AJ14" s="85"/>
      <c r="AK14" s="131"/>
      <c r="AL14" s="98"/>
      <c r="AM14" s="98"/>
      <c r="AN14" s="98"/>
      <c r="AO14" s="98"/>
      <c r="AP14" s="99"/>
      <c r="AQ14" s="85"/>
    </row>
    <row r="15" customFormat="false" ht="24" hidden="false" customHeight="true" outlineLevel="0" collapsed="false">
      <c r="A15" s="12"/>
      <c r="B15" s="259"/>
      <c r="C15" s="52"/>
      <c r="D15" s="82" t="s">
        <v>19</v>
      </c>
      <c r="E15" s="54">
        <f aca="false">+E9+E10-E13-E14</f>
      </c>
      <c r="F15" s="55">
        <f aca="false">E15*0.3025</f>
      </c>
      <c r="G15" s="56"/>
      <c r="H15" s="16"/>
      <c r="I15" s="57"/>
      <c r="J15" s="87"/>
      <c r="K15" s="88"/>
      <c r="L15" s="87"/>
      <c r="M15" s="88"/>
      <c r="N15" s="88"/>
      <c r="O15" s="89"/>
      <c r="P15" s="90"/>
      <c r="Q15" s="91"/>
      <c r="R15" s="75"/>
      <c r="S15" s="77"/>
      <c r="T15" s="92"/>
      <c r="U15" s="74"/>
      <c r="V15" s="93"/>
      <c r="W15" s="94"/>
      <c r="X15" s="74"/>
      <c r="Y15" s="77"/>
      <c r="Z15" s="78"/>
      <c r="AA15" s="95"/>
      <c r="AB15" s="96"/>
      <c r="AC15" s="97"/>
      <c r="AD15" s="97"/>
      <c r="AE15" s="71"/>
      <c r="AF15" s="85"/>
      <c r="AG15" s="85"/>
      <c r="AH15" s="85"/>
      <c r="AI15" s="131"/>
      <c r="AJ15" s="85"/>
      <c r="AK15" s="131"/>
      <c r="AL15" s="98"/>
      <c r="AM15" s="98"/>
      <c r="AN15" s="98"/>
      <c r="AO15" s="98"/>
      <c r="AP15" s="99"/>
      <c r="AQ15" s="85"/>
    </row>
    <row r="16" customFormat="false" ht="24" hidden="false" customHeight="true" outlineLevel="0" collapsed="false">
      <c r="A16" s="12"/>
      <c r="B16" s="259"/>
      <c r="C16" s="100" t="s">
        <v>29</v>
      </c>
      <c r="D16" s="101" t="str">
        <f aca="false">+Sheet1!E4</f>
      </c>
      <c r="E16" s="101"/>
      <c r="F16" s="101"/>
      <c r="G16" s="101"/>
      <c r="H16" s="16"/>
      <c r="I16" s="57"/>
      <c r="J16" s="87"/>
      <c r="K16" s="88"/>
      <c r="L16" s="87"/>
      <c r="M16" s="88"/>
      <c r="N16" s="88"/>
      <c r="O16" s="89"/>
      <c r="P16" s="90"/>
      <c r="Q16" s="91"/>
      <c r="R16" s="75"/>
      <c r="S16" s="77"/>
      <c r="T16" s="92"/>
      <c r="U16" s="74"/>
      <c r="V16" s="93"/>
      <c r="W16" s="94"/>
      <c r="X16" s="74"/>
      <c r="Y16" s="77"/>
      <c r="Z16" s="78"/>
      <c r="AA16" s="95"/>
      <c r="AB16" s="96"/>
      <c r="AC16" s="97"/>
      <c r="AD16" s="97"/>
      <c r="AE16" s="71"/>
      <c r="AF16" s="85"/>
      <c r="AG16" s="85"/>
      <c r="AH16" s="102"/>
      <c r="AI16" s="103"/>
      <c r="AJ16" s="102"/>
      <c r="AK16" s="103"/>
      <c r="AL16" s="98"/>
      <c r="AM16" s="98"/>
      <c r="AN16" s="98"/>
      <c r="AO16" s="98"/>
      <c r="AP16" s="85"/>
      <c r="AQ16" s="85"/>
    </row>
    <row r="17" customFormat="false" ht="24" hidden="false" customHeight="true" outlineLevel="0" collapsed="false">
      <c r="A17" s="12"/>
      <c r="B17" s="104"/>
      <c r="C17" s="105" t="s">
        <v>30</v>
      </c>
      <c r="D17" s="106"/>
      <c r="E17" s="107"/>
      <c r="F17" s="107"/>
      <c r="G17" s="107"/>
      <c r="H17" s="16"/>
      <c r="I17" s="57"/>
      <c r="J17" s="108"/>
      <c r="K17" s="109"/>
      <c r="L17" s="108"/>
      <c r="M17" s="109"/>
      <c r="N17" s="109"/>
      <c r="O17" s="110"/>
      <c r="P17" s="90"/>
      <c r="Q17" s="91"/>
      <c r="R17" s="75"/>
      <c r="S17" s="77"/>
      <c r="T17" s="92"/>
      <c r="U17" s="74"/>
      <c r="V17" s="93"/>
      <c r="W17" s="94"/>
      <c r="X17" s="74"/>
      <c r="Y17" s="77"/>
      <c r="Z17" s="78"/>
      <c r="AA17" s="95"/>
      <c r="AB17" s="96"/>
      <c r="AC17" s="97"/>
      <c r="AD17" s="97"/>
      <c r="AE17" s="71"/>
      <c r="AF17" s="85"/>
      <c r="AG17" s="85"/>
      <c r="AH17" s="85"/>
      <c r="AI17" s="131"/>
      <c r="AJ17" s="85"/>
      <c r="AK17" s="131"/>
      <c r="AL17" s="98"/>
      <c r="AM17" s="98"/>
      <c r="AN17" s="98"/>
      <c r="AO17" s="98"/>
      <c r="AP17" s="85"/>
      <c r="AQ17" s="85"/>
    </row>
    <row r="18" customFormat="false" ht="24" hidden="false" customHeight="true" outlineLevel="0" collapsed="false">
      <c r="A18" s="12"/>
      <c r="B18" s="38" t="s">
        <v>31</v>
      </c>
      <c r="C18" s="39" t="s">
        <v>32</v>
      </c>
      <c r="D18" s="111" t="s">
        <v>33</v>
      </c>
      <c r="E18" s="111"/>
      <c r="F18" s="111"/>
      <c r="G18" s="111"/>
      <c r="H18" s="16"/>
      <c r="I18" s="57"/>
      <c r="J18" s="87"/>
      <c r="K18" s="88"/>
      <c r="L18" s="87"/>
      <c r="M18" s="88"/>
      <c r="N18" s="88"/>
      <c r="O18" s="89"/>
      <c r="P18" s="90"/>
      <c r="Q18" s="91"/>
      <c r="R18" s="75"/>
      <c r="S18" s="77"/>
      <c r="T18" s="92"/>
      <c r="U18" s="74"/>
      <c r="V18" s="93"/>
      <c r="W18" s="94"/>
      <c r="X18" s="74"/>
      <c r="Y18" s="77"/>
      <c r="Z18" s="78"/>
      <c r="AA18" s="95"/>
      <c r="AB18" s="96"/>
      <c r="AC18" s="97"/>
      <c r="AD18" s="97"/>
      <c r="AE18" s="71"/>
      <c r="AF18" s="85"/>
      <c r="AG18" s="85"/>
      <c r="AH18" s="85"/>
      <c r="AI18" s="131"/>
      <c r="AJ18" s="112"/>
      <c r="AK18" s="113"/>
      <c r="AL18" s="98"/>
      <c r="AM18" s="98"/>
      <c r="AN18" s="98"/>
      <c r="AO18" s="98"/>
      <c r="AP18" s="85"/>
      <c r="AQ18" s="85"/>
    </row>
    <row r="19" customFormat="false" ht="24" hidden="false" customHeight="true" outlineLevel="0" collapsed="false">
      <c r="A19" s="12"/>
      <c r="B19" s="259"/>
      <c r="C19" s="100" t="s">
        <v>34</v>
      </c>
      <c r="D19" s="114" t="s">
        <v>35</v>
      </c>
      <c r="E19" s="114"/>
      <c r="F19" s="114"/>
      <c r="G19" s="115"/>
      <c r="H19" s="16"/>
      <c r="I19" s="57"/>
      <c r="J19" s="87"/>
      <c r="K19" s="88"/>
      <c r="L19" s="87"/>
      <c r="M19" s="88"/>
      <c r="N19" s="88"/>
      <c r="O19" s="89"/>
      <c r="P19" s="90"/>
      <c r="Q19" s="91"/>
      <c r="R19" s="75"/>
      <c r="S19" s="77"/>
      <c r="T19" s="92"/>
      <c r="U19" s="74"/>
      <c r="V19" s="93"/>
      <c r="W19" s="94"/>
      <c r="X19" s="74"/>
      <c r="Y19" s="77"/>
      <c r="Z19" s="78"/>
      <c r="AA19" s="95"/>
      <c r="AB19" s="96"/>
      <c r="AC19" s="97"/>
      <c r="AD19" s="97"/>
      <c r="AE19" s="71"/>
      <c r="AF19" s="85"/>
      <c r="AG19" s="85"/>
      <c r="AH19" s="116"/>
      <c r="AI19" s="117"/>
      <c r="AJ19" s="116"/>
      <c r="AK19" s="117"/>
      <c r="AL19" s="102"/>
      <c r="AM19" s="102"/>
      <c r="AN19" s="102"/>
      <c r="AO19" s="102"/>
      <c r="AP19" s="85"/>
      <c r="AQ19" s="85"/>
    </row>
    <row r="20" customFormat="false" ht="24" hidden="false" customHeight="true" outlineLevel="0" collapsed="false">
      <c r="A20" s="12"/>
      <c r="B20" s="259"/>
      <c r="C20" s="100" t="s">
        <v>36</v>
      </c>
      <c r="D20" s="118"/>
      <c r="E20" s="119">
        <f aca="false">D20*0.3025</f>
      </c>
      <c r="F20" s="120"/>
      <c r="G20" s="120"/>
      <c r="H20" s="16"/>
      <c r="I20" s="57"/>
      <c r="J20" s="87"/>
      <c r="K20" s="88"/>
      <c r="L20" s="87"/>
      <c r="M20" s="88"/>
      <c r="N20" s="88"/>
      <c r="O20" s="89"/>
      <c r="P20" s="90"/>
      <c r="Q20" s="91"/>
      <c r="R20" s="75"/>
      <c r="S20" s="77"/>
      <c r="T20" s="92"/>
      <c r="U20" s="74"/>
      <c r="V20" s="93"/>
      <c r="W20" s="94"/>
      <c r="X20" s="74"/>
      <c r="Y20" s="77"/>
      <c r="Z20" s="78"/>
      <c r="AA20" s="95"/>
      <c r="AB20" s="96"/>
      <c r="AC20" s="97"/>
      <c r="AD20" s="97"/>
      <c r="AE20" s="71"/>
      <c r="AF20" s="85"/>
      <c r="AG20" s="85"/>
      <c r="AH20" s="85"/>
      <c r="AI20" s="131"/>
      <c r="AJ20" s="85"/>
      <c r="AK20" s="131"/>
      <c r="AL20" s="85"/>
      <c r="AM20" s="85"/>
      <c r="AN20" s="85"/>
      <c r="AO20" s="85"/>
      <c r="AP20" s="85"/>
      <c r="AQ20" s="85"/>
    </row>
    <row r="21" customFormat="false" ht="24" hidden="false" customHeight="true" outlineLevel="0" collapsed="false">
      <c r="A21" s="12"/>
      <c r="B21" s="259"/>
      <c r="C21" s="121" t="s">
        <v>37</v>
      </c>
      <c r="D21" s="122" t="s">
        <v>38</v>
      </c>
      <c r="E21" s="123">
        <f aca="false">AA29</f>
      </c>
      <c r="F21" s="124">
        <f aca="false">E21*0.3025</f>
      </c>
      <c r="G21" s="125"/>
      <c r="H21" s="16"/>
      <c r="I21" s="57"/>
      <c r="J21" s="87"/>
      <c r="K21" s="88"/>
      <c r="L21" s="87"/>
      <c r="M21" s="88"/>
      <c r="N21" s="88"/>
      <c r="O21" s="89"/>
      <c r="P21" s="90"/>
      <c r="Q21" s="91"/>
      <c r="R21" s="75"/>
      <c r="S21" s="77"/>
      <c r="T21" s="92"/>
      <c r="U21" s="74"/>
      <c r="V21" s="93"/>
      <c r="W21" s="94"/>
      <c r="X21" s="74"/>
      <c r="Y21" s="77"/>
      <c r="Z21" s="78"/>
      <c r="AA21" s="95"/>
      <c r="AB21" s="96"/>
      <c r="AC21" s="97"/>
      <c r="AD21" s="97"/>
      <c r="AE21" s="71"/>
      <c r="AF21" s="85"/>
      <c r="AG21" s="85"/>
      <c r="AH21" s="85"/>
      <c r="AI21" s="131"/>
      <c r="AJ21" s="85"/>
      <c r="AK21" s="131"/>
      <c r="AL21" s="98"/>
      <c r="AM21" s="98"/>
      <c r="AN21" s="98"/>
      <c r="AO21" s="98"/>
      <c r="AP21" s="85"/>
      <c r="AQ21" s="85"/>
    </row>
    <row r="22" customFormat="false" ht="24" hidden="false" customHeight="true" outlineLevel="0" collapsed="false">
      <c r="A22" s="12"/>
      <c r="B22" s="259"/>
      <c r="C22" s="121"/>
      <c r="D22" s="122" t="s">
        <v>39</v>
      </c>
      <c r="E22" s="123">
        <f aca="false">AA36</f>
      </c>
      <c r="F22" s="124">
        <f aca="false">E22*0.3025</f>
      </c>
      <c r="G22" s="125"/>
      <c r="H22" s="16"/>
      <c r="I22" s="57"/>
      <c r="J22" s="87"/>
      <c r="K22" s="88"/>
      <c r="L22" s="87"/>
      <c r="M22" s="88"/>
      <c r="N22" s="126"/>
      <c r="O22" s="127"/>
      <c r="P22" s="90">
        <f aca="false">J22+N22</f>
      </c>
      <c r="Q22" s="91"/>
      <c r="R22" s="75"/>
      <c r="S22" s="77"/>
      <c r="T22" s="92"/>
      <c r="U22" s="74"/>
      <c r="V22" s="93"/>
      <c r="W22" s="94"/>
      <c r="X22" s="74"/>
      <c r="Y22" s="77"/>
      <c r="Z22" s="78"/>
      <c r="AA22" s="95"/>
      <c r="AB22" s="96"/>
      <c r="AC22" s="97"/>
      <c r="AD22" s="97"/>
      <c r="AE22" s="71"/>
      <c r="AF22" s="85"/>
      <c r="AG22" s="85"/>
      <c r="AH22" s="85"/>
      <c r="AI22" s="131"/>
      <c r="AJ22" s="85"/>
      <c r="AK22" s="131"/>
      <c r="AL22" s="98"/>
      <c r="AM22" s="98"/>
      <c r="AN22" s="98"/>
      <c r="AO22" s="98"/>
      <c r="AP22" s="85"/>
      <c r="AQ22" s="85"/>
    </row>
    <row r="23" customFormat="false" ht="24" hidden="false" customHeight="true" outlineLevel="0" collapsed="false">
      <c r="A23" s="12"/>
      <c r="B23" s="259"/>
      <c r="C23" s="121"/>
      <c r="D23" s="128" t="s">
        <v>19</v>
      </c>
      <c r="E23" s="129">
        <f aca="false">SUM(E21:E22)</f>
      </c>
      <c r="F23" s="124">
        <f aca="false">E23*0.3025</f>
      </c>
      <c r="G23" s="130"/>
      <c r="H23" s="16"/>
      <c r="I23" s="57"/>
      <c r="J23" s="87"/>
      <c r="K23" s="88"/>
      <c r="L23" s="87"/>
      <c r="M23" s="88"/>
      <c r="N23" s="126"/>
      <c r="O23" s="127"/>
      <c r="P23" s="90">
        <f aca="false">J23+N23</f>
      </c>
      <c r="Q23" s="91"/>
      <c r="R23" s="75"/>
      <c r="S23" s="77"/>
      <c r="T23" s="92"/>
      <c r="U23" s="74"/>
      <c r="V23" s="93"/>
      <c r="W23" s="94"/>
      <c r="X23" s="74"/>
      <c r="Y23" s="77"/>
      <c r="Z23" s="78"/>
      <c r="AA23" s="95"/>
      <c r="AB23" s="96"/>
      <c r="AC23" s="97"/>
      <c r="AD23" s="97"/>
      <c r="AE23" s="71"/>
      <c r="AF23" s="131" t="s">
        <v>40</v>
      </c>
      <c r="AG23" s="131" t="s">
        <v>25</v>
      </c>
      <c r="AH23" s="131"/>
      <c r="AI23" s="131"/>
      <c r="AJ23" s="131"/>
      <c r="AK23" s="131"/>
      <c r="AL23" s="133"/>
      <c r="AM23" s="133"/>
      <c r="AN23" s="133"/>
      <c r="AO23" s="133"/>
      <c r="AP23" s="131"/>
      <c r="AQ23" s="131"/>
      <c r="AR23" s="133" t="s">
        <v>41</v>
      </c>
    </row>
    <row r="24" customFormat="false" ht="24" hidden="false" customHeight="true" outlineLevel="0" collapsed="false">
      <c r="A24" s="12"/>
      <c r="B24" s="259"/>
      <c r="C24" s="134" t="s">
        <v>42</v>
      </c>
      <c r="D24" s="135">
        <f aca="false">D20/$E$15</f>
      </c>
      <c r="E24" s="136" t="s">
        <v>43</v>
      </c>
      <c r="F24" s="137"/>
      <c r="G24" s="138"/>
      <c r="H24" s="16"/>
      <c r="I24" s="57"/>
      <c r="J24" s="87"/>
      <c r="K24" s="88"/>
      <c r="L24" s="87"/>
      <c r="M24" s="88"/>
      <c r="N24" s="126"/>
      <c r="O24" s="127"/>
      <c r="P24" s="90">
        <f aca="false">J24+N24</f>
      </c>
      <c r="Q24" s="91"/>
      <c r="R24" s="75"/>
      <c r="S24" s="77"/>
      <c r="T24" s="92"/>
      <c r="U24" s="139"/>
      <c r="V24" s="140"/>
      <c r="W24" s="94"/>
      <c r="X24" s="141"/>
      <c r="Y24" s="142"/>
      <c r="Z24" s="143"/>
      <c r="AA24" s="144"/>
      <c r="AB24" s="96"/>
      <c r="AC24" s="97"/>
      <c r="AD24" s="97"/>
      <c r="AE24" s="71" t="s">
        <v>44</v>
      </c>
      <c r="AF24" s="85"/>
      <c r="AG24" s="85"/>
      <c r="AH24" s="85"/>
      <c r="AI24" s="131"/>
      <c r="AJ24" s="85"/>
      <c r="AK24" s="131"/>
      <c r="AL24" s="98"/>
      <c r="AM24" s="98"/>
      <c r="AN24" s="98"/>
      <c r="AO24" s="98"/>
      <c r="AP24" s="85">
        <f aca="false">SUM(AG24:AO24)</f>
      </c>
      <c r="AQ24" s="131"/>
      <c r="AR24" s="98">
        <f aca="false">+AF24-AP24</f>
      </c>
      <c r="AS24" s="2"/>
      <c r="AT24" s="2">
        <f aca="false">+AR24*AS24</f>
      </c>
    </row>
    <row r="25" customFormat="false" ht="24" hidden="false" customHeight="true" outlineLevel="0" collapsed="false">
      <c r="A25" s="5"/>
      <c r="B25" s="259"/>
      <c r="C25" s="145" t="s">
        <v>45</v>
      </c>
      <c r="D25" s="146">
        <f aca="false">(P29)/$E$15</f>
      </c>
      <c r="E25" s="147" t="s">
        <v>43</v>
      </c>
      <c r="F25" s="148"/>
      <c r="G25" s="149"/>
      <c r="H25" s="16"/>
      <c r="I25" s="57" t="s">
        <v>46</v>
      </c>
      <c r="J25" s="87"/>
      <c r="K25" s="88">
        <f aca="false">+J25*0.3025</f>
      </c>
      <c r="L25" s="87"/>
      <c r="M25" s="88">
        <f aca="false">+L25*0.3025</f>
      </c>
      <c r="N25" s="88"/>
      <c r="O25" s="88">
        <f aca="false">+N25*0.3025</f>
      </c>
      <c r="P25" s="150">
        <f aca="false">J25+N25+L25</f>
      </c>
      <c r="Q25" s="151">
        <f aca="false">+P25*0.3025</f>
      </c>
      <c r="R25" s="126"/>
      <c r="S25" s="152"/>
      <c r="T25" s="153">
        <f aca="false">R25+S25</f>
      </c>
      <c r="U25" s="139"/>
      <c r="V25" s="140"/>
      <c r="W25" s="94">
        <f aca="false">+U25+V25</f>
      </c>
      <c r="X25" s="141"/>
      <c r="Y25" s="142"/>
      <c r="Z25" s="143"/>
      <c r="AA25" s="144">
        <f aca="false">+SUM(P25,T25,W25,X25,Y25,Z25)</f>
      </c>
      <c r="AB25" s="154"/>
      <c r="AC25" s="154"/>
      <c r="AD25" s="154"/>
      <c r="AE25" s="71"/>
      <c r="AF25" s="85"/>
      <c r="AG25" s="131"/>
      <c r="AH25" s="85"/>
      <c r="AI25" s="131"/>
      <c r="AJ25" s="85"/>
      <c r="AK25" s="131"/>
      <c r="AL25" s="98"/>
      <c r="AM25" s="98"/>
      <c r="AN25" s="98"/>
      <c r="AO25" s="98"/>
      <c r="AP25" s="85"/>
      <c r="AQ25" s="131"/>
      <c r="AR25" s="98"/>
    </row>
    <row r="26" customFormat="false" ht="24" hidden="false" customHeight="true" outlineLevel="0" collapsed="false">
      <c r="A26" s="5"/>
      <c r="B26" s="38" t="s">
        <v>48</v>
      </c>
      <c r="C26" s="155" t="s">
        <v>49</v>
      </c>
      <c r="D26" s="156" t="s">
        <v>50</v>
      </c>
      <c r="E26" s="157"/>
      <c r="F26" s="158"/>
      <c r="G26" s="433"/>
      <c r="H26" s="16"/>
      <c r="I26" s="57"/>
      <c r="J26" s="87"/>
      <c r="K26" s="88">
        <f aca="false">+J26*0.3025</f>
      </c>
      <c r="L26" s="87"/>
      <c r="M26" s="88">
        <f aca="false">+L26*0.3025</f>
      </c>
      <c r="N26" s="88"/>
      <c r="O26" s="88">
        <f aca="false">+N26*0.3025</f>
      </c>
      <c r="P26" s="150">
        <f aca="false">J26+N26+L26</f>
      </c>
      <c r="Q26" s="91">
        <f aca="false">+P26*0.3025</f>
      </c>
      <c r="R26" s="126"/>
      <c r="S26" s="152"/>
      <c r="T26" s="153">
        <f aca="false">R26+S26</f>
      </c>
      <c r="U26" s="74"/>
      <c r="V26" s="93"/>
      <c r="W26" s="94">
        <f aca="false">+U26+V26</f>
      </c>
      <c r="X26" s="74"/>
      <c r="Y26" s="77"/>
      <c r="Z26" s="78"/>
      <c r="AA26" s="144">
        <f aca="false">+SUM(P26,T26,W26,X26,Y26,Z26)</f>
      </c>
      <c r="AB26" s="154"/>
      <c r="AC26" s="154"/>
      <c r="AD26" s="154"/>
      <c r="AE26" s="71"/>
      <c r="AF26" s="85"/>
      <c r="AG26" s="131"/>
      <c r="AH26" s="85"/>
      <c r="AI26" s="131"/>
      <c r="AJ26" s="85"/>
      <c r="AK26" s="131"/>
      <c r="AL26" s="160"/>
      <c r="AM26" s="160"/>
      <c r="AN26" s="160"/>
      <c r="AO26" s="160"/>
      <c r="AP26" s="85"/>
      <c r="AQ26" s="131"/>
      <c r="AR26" s="98"/>
    </row>
    <row r="27" customFormat="false" ht="24" hidden="false" customHeight="true" outlineLevel="0" collapsed="false">
      <c r="A27" s="12"/>
      <c r="B27" s="259"/>
      <c r="C27" s="161"/>
      <c r="D27" s="162" t="s">
        <v>51</v>
      </c>
      <c r="E27" s="163">
        <f aca="false">+J37+N28+N30</f>
      </c>
      <c r="F27" s="164"/>
      <c r="G27" s="165">
        <f aca="false">+E27/134</f>
      </c>
      <c r="H27" s="166"/>
      <c r="I27" s="57"/>
      <c r="J27" s="87"/>
      <c r="K27" s="88">
        <f aca="false">+J27*0.3025</f>
      </c>
      <c r="L27" s="87"/>
      <c r="M27" s="88">
        <f aca="false">+L27*0.3025</f>
      </c>
      <c r="N27" s="88"/>
      <c r="O27" s="88">
        <f aca="false">+N27*0.3025</f>
      </c>
      <c r="P27" s="150">
        <f aca="false">J27+N27+L27</f>
      </c>
      <c r="Q27" s="91">
        <f aca="false">+P27*0.3025</f>
      </c>
      <c r="R27" s="126"/>
      <c r="S27" s="152"/>
      <c r="T27" s="153">
        <f aca="false">R27+S27</f>
      </c>
      <c r="U27" s="139"/>
      <c r="V27" s="140"/>
      <c r="W27" s="167">
        <f aca="false">+U27+V27</f>
      </c>
      <c r="X27" s="74"/>
      <c r="Y27" s="77"/>
      <c r="Z27" s="78"/>
      <c r="AA27" s="144">
        <f aca="false">+SUM(P27,T27,W27,X27,Y27,Z27)</f>
      </c>
      <c r="AB27" s="154"/>
      <c r="AC27" s="154"/>
      <c r="AD27" s="154"/>
      <c r="AE27" s="71"/>
      <c r="AF27" s="85"/>
      <c r="AG27" s="131"/>
      <c r="AH27" s="85"/>
      <c r="AI27" s="131"/>
      <c r="AJ27" s="85"/>
      <c r="AK27" s="131"/>
      <c r="AL27" s="160"/>
      <c r="AM27" s="160"/>
      <c r="AN27" s="160"/>
      <c r="AO27" s="160"/>
      <c r="AP27" s="85"/>
      <c r="AQ27" s="131"/>
      <c r="AR27" s="160"/>
    </row>
    <row r="28" customFormat="false" ht="24" hidden="false" customHeight="true" outlineLevel="0" collapsed="false">
      <c r="A28" s="12"/>
      <c r="B28" s="259"/>
      <c r="C28" s="161"/>
      <c r="D28" s="168"/>
      <c r="E28" s="163"/>
      <c r="F28" s="164"/>
      <c r="G28" s="165"/>
      <c r="H28" s="166"/>
      <c r="I28" s="57"/>
      <c r="J28" s="169"/>
      <c r="K28" s="88">
        <f aca="false">+J28*0.3025</f>
      </c>
      <c r="L28" s="169"/>
      <c r="M28" s="88">
        <f aca="false">+L28*0.3025</f>
      </c>
      <c r="N28" s="88"/>
      <c r="O28" s="88">
        <f aca="false">+N28*0.3025</f>
      </c>
      <c r="P28" s="150">
        <f aca="false">J28+N28+L28</f>
      </c>
      <c r="Q28" s="91">
        <f aca="false">+P28*0.3025</f>
      </c>
      <c r="R28" s="126"/>
      <c r="S28" s="152"/>
      <c r="T28" s="153">
        <f aca="false">R28+S28</f>
      </c>
      <c r="U28" s="139"/>
      <c r="V28" s="140"/>
      <c r="W28" s="167">
        <f aca="false">+U28+V28</f>
      </c>
      <c r="X28" s="74"/>
      <c r="Y28" s="77"/>
      <c r="Z28" s="78"/>
      <c r="AA28" s="144">
        <f aca="false">+SUM(P28,T28,W28,X28,Y28,Z28)</f>
      </c>
      <c r="AB28" s="431"/>
      <c r="AC28" s="431"/>
      <c r="AD28" s="431"/>
      <c r="AE28" s="71"/>
      <c r="AF28" s="85"/>
      <c r="AG28" s="131"/>
      <c r="AH28" s="85"/>
      <c r="AI28" s="131"/>
      <c r="AJ28" s="85"/>
      <c r="AK28" s="131"/>
      <c r="AL28" s="160"/>
      <c r="AM28" s="160"/>
      <c r="AN28" s="160"/>
      <c r="AO28" s="160"/>
      <c r="AP28" s="85"/>
      <c r="AQ28" s="131"/>
      <c r="AR28" s="160"/>
    </row>
    <row r="29" customFormat="false" ht="24" hidden="false" customHeight="true" outlineLevel="0" collapsed="false">
      <c r="A29" s="12"/>
      <c r="B29" s="259"/>
      <c r="C29" s="161"/>
      <c r="D29" s="162"/>
      <c r="E29" s="171"/>
      <c r="F29" s="158"/>
      <c r="G29" s="165"/>
      <c r="H29" s="166"/>
      <c r="I29" s="172" t="s">
        <v>53</v>
      </c>
      <c r="J29" s="173">
        <f aca="false">SUM(J25:J28)</f>
      </c>
      <c r="K29" s="174">
        <f aca="false">+J29*0.3025</f>
      </c>
      <c r="L29" s="173">
        <f aca="false">SUM(L25:L28)</f>
      </c>
      <c r="M29" s="174">
        <f aca="false">+L29*0.3025</f>
      </c>
      <c r="N29" s="175">
        <f aca="false">SUM(N9:N28)</f>
      </c>
      <c r="O29" s="176">
        <f aca="false">+N29*0.3025</f>
      </c>
      <c r="P29" s="177">
        <f aca="false">SUM(P25:P28)</f>
      </c>
      <c r="Q29" s="178">
        <f aca="false">+P29*0.3025</f>
      </c>
      <c r="R29" s="174"/>
      <c r="S29" s="177"/>
      <c r="T29" s="178">
        <f aca="false">SUM(T9:T28)</f>
      </c>
      <c r="U29" s="173">
        <f aca="false">SUM(U9:U28)</f>
      </c>
      <c r="V29" s="177">
        <f aca="false">SUM(V9:V28)</f>
      </c>
      <c r="W29" s="178">
        <f aca="false">SUM(W9:W28)</f>
      </c>
      <c r="X29" s="173">
        <f aca="false">SUM(X9:X28)</f>
      </c>
      <c r="Y29" s="177">
        <f aca="false">SUM(Y9:Y28)</f>
      </c>
      <c r="Z29" s="178">
        <f aca="false">SUM(Z9:Z28)</f>
      </c>
      <c r="AA29" s="179">
        <f aca="false">+SUM(P29,T29,W29,X29,Y29,Z29)</f>
      </c>
      <c r="AB29" s="170"/>
      <c r="AC29" s="170"/>
      <c r="AD29" s="170"/>
      <c r="AE29" s="180"/>
      <c r="AF29" s="131">
        <f aca="false">+J28+N28+J30+N30</f>
      </c>
      <c r="AG29" s="131">
        <f aca="false">+AF29/134</f>
      </c>
      <c r="AH29" s="131"/>
      <c r="AI29" s="131"/>
      <c r="AJ29" s="85"/>
      <c r="AK29" s="131"/>
      <c r="AL29" s="181"/>
      <c r="AM29" s="181"/>
      <c r="AN29" s="181"/>
      <c r="AO29" s="181"/>
      <c r="AP29" s="182"/>
      <c r="AQ29" s="182"/>
      <c r="AR29" s="183"/>
    </row>
    <row r="30" customFormat="false" ht="24" hidden="false" customHeight="true" outlineLevel="0" collapsed="false">
      <c r="A30" s="12"/>
      <c r="B30" s="259"/>
      <c r="C30" s="161"/>
      <c r="D30" s="162" t="s">
        <v>14</v>
      </c>
      <c r="E30" s="184"/>
      <c r="F30" s="185"/>
      <c r="G30" s="186"/>
      <c r="H30" s="166"/>
      <c r="I30" s="187"/>
      <c r="J30" s="188"/>
      <c r="K30" s="88">
        <f aca="false">+J30*0.3025</f>
      </c>
      <c r="L30" s="189"/>
      <c r="M30" s="189"/>
      <c r="N30" s="190"/>
      <c r="O30" s="88">
        <f aca="false">+N30*0.3025</f>
      </c>
      <c r="P30" s="191">
        <f aca="false">J30+N30</f>
      </c>
      <c r="Q30" s="91">
        <f aca="false">+P30*0.3025</f>
      </c>
      <c r="R30" s="192"/>
      <c r="S30" s="193"/>
      <c r="T30" s="194">
        <f aca="false">R30+S30</f>
      </c>
      <c r="U30" s="195">
        <f aca="false">+AE30</f>
      </c>
      <c r="V30" s="190">
        <f aca="false">+AF30+AJ30</f>
      </c>
      <c r="W30" s="196">
        <f aca="false">+U30+V30</f>
      </c>
      <c r="X30" s="197"/>
      <c r="Y30" s="198"/>
      <c r="Z30" s="199"/>
      <c r="AA30" s="144">
        <f aca="false">+SUM(P30,T30,W30,X30,Y30,Z30)</f>
      </c>
      <c r="AB30" s="432"/>
      <c r="AC30" s="432"/>
      <c r="AD30" s="432"/>
      <c r="AE30" s="71"/>
      <c r="AF30" s="131"/>
      <c r="AG30" s="131"/>
      <c r="AH30" s="131"/>
      <c r="AI30" s="131"/>
      <c r="AJ30" s="85"/>
      <c r="AK30" s="131"/>
      <c r="AL30" s="160"/>
      <c r="AM30" s="160"/>
      <c r="AN30" s="160"/>
      <c r="AO30" s="160"/>
      <c r="AP30" s="182"/>
      <c r="AQ30" s="182"/>
      <c r="AR30" s="201"/>
    </row>
    <row r="31" customFormat="false" ht="24" hidden="false" customHeight="true" outlineLevel="0" collapsed="false">
      <c r="A31" s="12"/>
      <c r="B31" s="259"/>
      <c r="C31" s="145" t="s">
        <v>55</v>
      </c>
      <c r="D31" s="202" t="s">
        <v>38</v>
      </c>
      <c r="E31" s="203" t="s">
        <v>56</v>
      </c>
      <c r="F31" s="203"/>
      <c r="G31" s="204"/>
      <c r="H31" s="166"/>
      <c r="I31" s="187"/>
      <c r="J31" s="139"/>
      <c r="K31" s="205"/>
      <c r="L31" s="205"/>
      <c r="M31" s="205"/>
      <c r="N31" s="206"/>
      <c r="O31" s="206"/>
      <c r="P31" s="191"/>
      <c r="Q31" s="207"/>
      <c r="R31" s="208"/>
      <c r="S31" s="209"/>
      <c r="T31" s="62">
        <f aca="false">R31+S31</f>
      </c>
      <c r="U31" s="210"/>
      <c r="V31" s="140"/>
      <c r="W31" s="211">
        <f aca="false">+U31+V31</f>
      </c>
      <c r="X31" s="141"/>
      <c r="Y31" s="212"/>
      <c r="Z31" s="167"/>
      <c r="AA31" s="144">
        <f aca="false">+SUM(P31,T31,W31,X31,Y31,Z31)</f>
      </c>
      <c r="AB31" s="96"/>
      <c r="AC31" s="96"/>
      <c r="AD31" s="96"/>
      <c r="AE31" s="71"/>
      <c r="AF31" s="213"/>
      <c r="AG31" s="213"/>
      <c r="AH31" s="213"/>
      <c r="AI31" s="213"/>
      <c r="AJ31" s="85"/>
      <c r="AK31" s="131"/>
      <c r="AL31" s="160"/>
      <c r="AM31" s="160"/>
      <c r="AN31" s="160"/>
      <c r="AO31" s="160"/>
      <c r="AP31" s="160"/>
      <c r="AQ31" s="182"/>
      <c r="AR31" s="201"/>
    </row>
    <row r="32" customFormat="false" ht="24" hidden="false" customHeight="true" outlineLevel="0" collapsed="false">
      <c r="A32" s="12"/>
      <c r="B32" s="214"/>
      <c r="C32" s="215"/>
      <c r="D32" s="128" t="s">
        <v>39</v>
      </c>
      <c r="E32" s="216" t="s">
        <v>56</v>
      </c>
      <c r="F32" s="216"/>
      <c r="G32" s="217"/>
      <c r="H32" s="166"/>
      <c r="I32" s="187"/>
      <c r="J32" s="74"/>
      <c r="K32" s="75"/>
      <c r="L32" s="75"/>
      <c r="M32" s="75"/>
      <c r="N32" s="77"/>
      <c r="O32" s="60"/>
      <c r="P32" s="62">
        <f aca="false">J32+N32</f>
      </c>
      <c r="Q32" s="218"/>
      <c r="R32" s="208"/>
      <c r="S32" s="209"/>
      <c r="T32" s="62">
        <f aca="false">R32+S32</f>
      </c>
      <c r="U32" s="219"/>
      <c r="V32" s="93"/>
      <c r="W32" s="94">
        <f aca="false">+U32+V32</f>
      </c>
      <c r="X32" s="74"/>
      <c r="Y32" s="93">
        <f aca="false">+AA32-X32</f>
      </c>
      <c r="Z32" s="94"/>
      <c r="AA32" s="220">
        <f aca="false">+AH32</f>
      </c>
      <c r="AB32" s="97"/>
      <c r="AC32" s="97"/>
      <c r="AD32" s="97"/>
      <c r="AE32" s="71"/>
      <c r="AF32" s="85"/>
      <c r="AG32" s="85"/>
      <c r="AH32" s="131"/>
      <c r="AI32" s="131"/>
      <c r="AJ32" s="85"/>
      <c r="AK32" s="131"/>
      <c r="AL32" s="160"/>
      <c r="AM32" s="160"/>
      <c r="AN32" s="160"/>
      <c r="AO32" s="160"/>
      <c r="AP32" s="182"/>
      <c r="AQ32" s="182"/>
      <c r="AR32" s="201"/>
    </row>
    <row r="33" customFormat="false" ht="24" hidden="false" customHeight="true" outlineLevel="0" collapsed="false">
      <c r="A33" s="12"/>
      <c r="B33" s="221"/>
      <c r="C33" s="222"/>
      <c r="D33" s="223"/>
      <c r="E33" s="224"/>
      <c r="F33" s="225"/>
      <c r="G33" s="224"/>
      <c r="H33" s="166"/>
      <c r="I33" s="187"/>
      <c r="J33" s="219"/>
      <c r="K33" s="226"/>
      <c r="L33" s="226"/>
      <c r="M33" s="226"/>
      <c r="N33" s="93"/>
      <c r="O33" s="227"/>
      <c r="P33" s="228"/>
      <c r="Q33" s="229"/>
      <c r="R33" s="230"/>
      <c r="S33" s="231"/>
      <c r="T33" s="228"/>
      <c r="U33" s="219"/>
      <c r="V33" s="93"/>
      <c r="W33" s="94"/>
      <c r="X33" s="219"/>
      <c r="Y33" s="93"/>
      <c r="Z33" s="94"/>
      <c r="AA33" s="232"/>
      <c r="AB33" s="97"/>
      <c r="AC33" s="97"/>
      <c r="AD33" s="97"/>
      <c r="AE33" s="71"/>
      <c r="AF33" s="85"/>
      <c r="AG33" s="85"/>
      <c r="AH33" s="131">
        <f aca="false">+AE33-AF33</f>
      </c>
      <c r="AI33" s="131"/>
      <c r="AJ33" s="85"/>
      <c r="AK33" s="131"/>
      <c r="AL33" s="98"/>
      <c r="AM33" s="98"/>
      <c r="AN33" s="98"/>
      <c r="AO33" s="98"/>
      <c r="AP33" s="85"/>
      <c r="AQ33" s="85"/>
    </row>
    <row r="34" customFormat="false" ht="24" hidden="false" customHeight="true" outlineLevel="0" collapsed="false">
      <c r="A34" s="12"/>
      <c r="B34" s="38" t="s">
        <v>57</v>
      </c>
      <c r="C34" s="39" t="s">
        <v>49</v>
      </c>
      <c r="D34" s="233">
        <f aca="false">E15</f>
      </c>
      <c r="E34" s="234"/>
      <c r="F34" s="235">
        <f aca="false">D34*E34</f>
      </c>
      <c r="G34" s="41"/>
      <c r="H34" s="166"/>
      <c r="I34" s="187"/>
      <c r="J34" s="74"/>
      <c r="K34" s="75"/>
      <c r="L34" s="75"/>
      <c r="M34" s="75"/>
      <c r="N34" s="77"/>
      <c r="O34" s="236"/>
      <c r="P34" s="237">
        <f aca="false">J34+N34</f>
      </c>
      <c r="Q34" s="238"/>
      <c r="R34" s="208"/>
      <c r="S34" s="209"/>
      <c r="T34" s="237">
        <f aca="false">R34+S34</f>
      </c>
      <c r="U34" s="74"/>
      <c r="V34" s="77"/>
      <c r="W34" s="78">
        <f aca="false">+U34+V34</f>
      </c>
      <c r="X34" s="74"/>
      <c r="Y34" s="77"/>
      <c r="Z34" s="78"/>
      <c r="AA34" s="220">
        <f aca="false">+SUM(P34,T34,W34,X34,Y34,Z34)</f>
      </c>
      <c r="AB34" s="97"/>
      <c r="AC34" s="97"/>
      <c r="AD34" s="97"/>
      <c r="AE34" s="71"/>
      <c r="AF34" s="239"/>
      <c r="AG34" s="239"/>
      <c r="AH34" s="85"/>
      <c r="AI34" s="131"/>
      <c r="AJ34" s="85"/>
      <c r="AK34" s="131"/>
      <c r="AL34" s="85"/>
      <c r="AM34" s="85"/>
      <c r="AN34" s="85"/>
      <c r="AO34" s="85"/>
      <c r="AP34" s="85"/>
      <c r="AQ34" s="85"/>
    </row>
    <row r="35" customFormat="false" ht="24" hidden="false" customHeight="true" outlineLevel="0" collapsed="false">
      <c r="A35" s="12"/>
      <c r="B35" s="259"/>
      <c r="C35" s="240"/>
      <c r="D35" s="241"/>
      <c r="E35" s="242"/>
      <c r="F35" s="243"/>
      <c r="G35" s="244"/>
      <c r="H35" s="166"/>
      <c r="I35" s="187"/>
      <c r="J35" s="245"/>
      <c r="K35" s="245"/>
      <c r="L35" s="245"/>
      <c r="M35" s="245"/>
      <c r="N35" s="77"/>
      <c r="O35" s="236"/>
      <c r="P35" s="237">
        <f aca="false">J35+N35</f>
      </c>
      <c r="Q35" s="238"/>
      <c r="R35" s="208"/>
      <c r="S35" s="209"/>
      <c r="T35" s="237">
        <f aca="false">R35+S35</f>
      </c>
      <c r="U35" s="246"/>
      <c r="V35" s="77"/>
      <c r="W35" s="78">
        <f aca="false">+U35+V35</f>
      </c>
      <c r="X35" s="74"/>
      <c r="Y35" s="77"/>
      <c r="Z35" s="247"/>
      <c r="AA35" s="220">
        <f aca="false">+SUM(P35,T35,W35,X35,Y35,Z35)</f>
      </c>
      <c r="AB35" s="97"/>
      <c r="AC35" s="97"/>
      <c r="AD35" s="97"/>
      <c r="AE35" s="71"/>
      <c r="AF35" s="239"/>
      <c r="AG35" s="239"/>
      <c r="AH35" s="85"/>
      <c r="AI35" s="131"/>
      <c r="AJ35" s="85"/>
      <c r="AK35" s="131">
        <f aca="false">+AI35/AJ35</f>
      </c>
      <c r="AL35" s="85"/>
      <c r="AM35" s="85"/>
      <c r="AN35" s="85"/>
      <c r="AO35" s="85"/>
      <c r="AP35" s="85"/>
      <c r="AQ35" s="85"/>
    </row>
    <row r="36" customFormat="false" ht="24" hidden="false" customHeight="true" outlineLevel="0" collapsed="false">
      <c r="A36" s="12"/>
      <c r="B36" s="248"/>
      <c r="C36" s="100" t="s">
        <v>55</v>
      </c>
      <c r="D36" s="249">
        <f aca="false">+D34</f>
      </c>
      <c r="E36" s="250">
        <f aca="false">+E34</f>
      </c>
      <c r="F36" s="251">
        <f aca="false">D36*E36</f>
      </c>
      <c r="G36" s="252"/>
      <c r="H36" s="16"/>
      <c r="I36" s="172" t="s">
        <v>58</v>
      </c>
      <c r="J36" s="177">
        <f aca="false">SUM(J30:J35)</f>
      </c>
      <c r="K36" s="177">
        <f aca="false">+J36*0.3025</f>
      </c>
      <c r="L36" s="177"/>
      <c r="M36" s="177"/>
      <c r="N36" s="177">
        <f aca="false">SUM(N30:N35)</f>
      </c>
      <c r="O36" s="253">
        <f aca="false">+N36*0.3025</f>
      </c>
      <c r="P36" s="178">
        <f aca="false">SUM(P30:P35)</f>
      </c>
      <c r="Q36" s="179">
        <f aca="false">+P36*0.3025</f>
      </c>
      <c r="R36" s="254">
        <f aca="false">SUM(R30:R35)</f>
      </c>
      <c r="S36" s="255">
        <f aca="false">SUM(S30:S35)</f>
      </c>
      <c r="T36" s="256">
        <f aca="false">SUM(T30:T35)</f>
      </c>
      <c r="U36" s="173">
        <f aca="false">SUM(U30:U35)</f>
      </c>
      <c r="V36" s="177">
        <f aca="false">SUM(V30:V35)</f>
      </c>
      <c r="W36" s="178">
        <f aca="false">SUM(W30:W35)</f>
      </c>
      <c r="X36" s="173">
        <f aca="false">SUM(X30:X35)</f>
      </c>
      <c r="Y36" s="177">
        <f aca="false">SUM(Y30:Y35)</f>
      </c>
      <c r="Z36" s="178">
        <f aca="false">SUM(Z30:Z35)</f>
      </c>
      <c r="AA36" s="179">
        <f aca="false">+SUM(P36,T36,W36,X36,Y36,Z36)</f>
      </c>
      <c r="AB36" s="170"/>
      <c r="AC36" s="170"/>
      <c r="AD36" s="170"/>
      <c r="AE36" s="180"/>
      <c r="AF36" s="85"/>
      <c r="AG36" s="85"/>
      <c r="AH36" s="85"/>
      <c r="AI36" s="131"/>
      <c r="AJ36" s="85"/>
      <c r="AK36" s="131">
        <f aca="false">+AI36/AJ36</f>
      </c>
      <c r="AL36" s="257"/>
      <c r="AM36" s="257"/>
      <c r="AN36" s="257"/>
      <c r="AO36" s="257"/>
      <c r="AP36" s="258"/>
      <c r="AQ36" s="85"/>
    </row>
    <row r="37" customFormat="false" ht="24" hidden="false" customHeight="true" outlineLevel="0" collapsed="false">
      <c r="A37" s="12"/>
      <c r="B37" s="259" t="s">
        <v>59</v>
      </c>
      <c r="C37" s="100" t="s">
        <v>49</v>
      </c>
      <c r="D37" s="249"/>
      <c r="E37" s="242"/>
      <c r="F37" s="260"/>
      <c r="G37" s="244"/>
      <c r="H37" s="16"/>
      <c r="I37" s="38" t="s">
        <v>19</v>
      </c>
      <c r="J37" s="261">
        <f aca="false">J29+J36</f>
      </c>
      <c r="K37" s="262">
        <f aca="false">+J37*0.3025</f>
      </c>
      <c r="L37" s="261">
        <f aca="false">L29+L36</f>
      </c>
      <c r="M37" s="262">
        <f aca="false">+L37*0.3025</f>
      </c>
      <c r="N37" s="263">
        <f aca="false">N29+N36</f>
      </c>
      <c r="O37" s="264">
        <f aca="false">+N37*0.3025</f>
      </c>
      <c r="P37" s="265">
        <f aca="false">P29+P36</f>
      </c>
      <c r="Q37" s="266">
        <f aca="false">+P37*0.3025</f>
      </c>
      <c r="R37" s="267">
        <f aca="false">R29+R36</f>
      </c>
      <c r="S37" s="268">
        <f aca="false">S29+S36</f>
      </c>
      <c r="T37" s="269">
        <f aca="false">T29+T36</f>
      </c>
      <c r="U37" s="261">
        <f aca="false">U29+U36</f>
      </c>
      <c r="V37" s="263">
        <f aca="false">V29+V36</f>
      </c>
      <c r="W37" s="263">
        <f aca="false">W29+W36</f>
      </c>
      <c r="X37" s="261">
        <f aca="false">X29+X36</f>
      </c>
      <c r="Y37" s="263">
        <f aca="false">Y29+Y36</f>
      </c>
      <c r="Z37" s="265">
        <f aca="false">Z29+Z36</f>
      </c>
      <c r="AA37" s="266">
        <f aca="false">+SUM(P37,T37,W37,X37,Y37,Z37)</f>
      </c>
      <c r="AB37" s="270"/>
      <c r="AC37" s="270"/>
      <c r="AD37" s="270"/>
      <c r="AE37" s="180"/>
      <c r="AF37" s="271"/>
      <c r="AG37" s="271"/>
      <c r="AH37" s="271"/>
      <c r="AI37" s="131">
        <f aca="false">+AH36+AK36+AK35</f>
      </c>
      <c r="AJ37" s="271"/>
      <c r="AK37" s="131"/>
      <c r="AL37" s="98"/>
      <c r="AM37" s="98"/>
      <c r="AN37" s="98"/>
      <c r="AO37" s="98"/>
      <c r="AP37" s="85"/>
      <c r="AQ37" s="85"/>
    </row>
    <row r="38" customFormat="false" ht="24" hidden="false" customHeight="true" outlineLevel="0" collapsed="false">
      <c r="A38" s="12"/>
      <c r="B38" s="272"/>
      <c r="C38" s="273" t="s">
        <v>55</v>
      </c>
      <c r="D38" s="274"/>
      <c r="E38" s="275"/>
      <c r="F38" s="276"/>
      <c r="G38" s="277"/>
      <c r="H38" s="16"/>
      <c r="I38" s="272"/>
      <c r="J38" s="278">
        <f aca="false">J37*0.3025</f>
      </c>
      <c r="K38" s="279"/>
      <c r="L38" s="278">
        <f aca="false">L37*0.3025</f>
      </c>
      <c r="M38" s="279"/>
      <c r="N38" s="280">
        <f aca="false">N37*0.3025</f>
      </c>
      <c r="O38" s="281"/>
      <c r="P38" s="282">
        <f aca="false">P37*0.3025</f>
      </c>
      <c r="Q38" s="283"/>
      <c r="R38" s="284">
        <f aca="false">R37*0.3025</f>
      </c>
      <c r="S38" s="285">
        <f aca="false">S37*0.3025</f>
      </c>
      <c r="T38" s="286">
        <f aca="false">T37*0.3025</f>
      </c>
      <c r="U38" s="278">
        <f aca="false">U37*0.3025</f>
      </c>
      <c r="V38" s="280">
        <f aca="false">V37*0.3025</f>
      </c>
      <c r="W38" s="280">
        <f aca="false">W37*0.3025</f>
      </c>
      <c r="X38" s="278">
        <f aca="false">X37*0.3025</f>
      </c>
      <c r="Y38" s="280">
        <f aca="false">Y37*0.3025</f>
      </c>
      <c r="Z38" s="282">
        <f aca="false">Z37*0.3025</f>
      </c>
      <c r="AA38" s="287">
        <f aca="false">AA37*0.3025</f>
      </c>
      <c r="AB38" s="270"/>
      <c r="AC38" s="270"/>
      <c r="AD38" s="270"/>
      <c r="AE38" s="180"/>
      <c r="AF38" s="102"/>
      <c r="AG38" s="102"/>
      <c r="AH38" s="102"/>
      <c r="AI38" s="103"/>
      <c r="AJ38" s="102"/>
      <c r="AK38" s="103"/>
      <c r="AL38" s="98"/>
      <c r="AM38" s="98"/>
      <c r="AN38" s="98"/>
      <c r="AO38" s="98"/>
      <c r="AP38" s="85"/>
      <c r="AQ38" s="85"/>
    </row>
    <row r="39" customFormat="false" ht="24" hidden="false" customHeight="true" outlineLevel="0" collapsed="false">
      <c r="A39" s="12"/>
      <c r="B39" s="288"/>
      <c r="C39" s="288"/>
      <c r="D39" s="288"/>
      <c r="E39" s="288"/>
      <c r="F39" s="288"/>
      <c r="G39" s="288"/>
      <c r="H39" s="288"/>
      <c r="I39" s="13"/>
      <c r="J39" s="289"/>
      <c r="K39" s="289"/>
      <c r="L39" s="289"/>
      <c r="M39" s="289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7"/>
      <c r="AG39" s="7"/>
      <c r="AH39" s="7"/>
      <c r="AI39" s="9"/>
      <c r="AJ39" s="7"/>
      <c r="AK39" s="9"/>
      <c r="AL39" s="85"/>
      <c r="AM39" s="85"/>
      <c r="AN39" s="85"/>
      <c r="AO39" s="85"/>
      <c r="AP39" s="85"/>
      <c r="AQ39" s="85"/>
    </row>
    <row r="40" customFormat="false" ht="24" hidden="true" customHeight="true" outlineLevel="0" collapsed="false">
      <c r="A40" s="12"/>
      <c r="B40" s="290" t="s">
        <v>60</v>
      </c>
      <c r="C40" s="291"/>
      <c r="D40" s="291"/>
      <c r="E40" s="291"/>
      <c r="F40" s="292"/>
      <c r="G40" s="291"/>
      <c r="H40" s="291"/>
      <c r="I40" s="293"/>
      <c r="J40" s="294"/>
      <c r="K40" s="294"/>
      <c r="L40" s="294"/>
      <c r="M40" s="294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5" t="s">
        <v>61</v>
      </c>
      <c r="AB40" s="16"/>
      <c r="AC40" s="16"/>
      <c r="AD40" s="16"/>
      <c r="AE40" s="16"/>
      <c r="AF40" s="85"/>
      <c r="AG40" s="85"/>
      <c r="AH40" s="85"/>
      <c r="AI40" s="131"/>
      <c r="AJ40" s="85"/>
      <c r="AK40" s="131"/>
      <c r="AL40" s="85"/>
      <c r="AM40" s="85"/>
      <c r="AN40" s="85"/>
      <c r="AO40" s="85"/>
      <c r="AP40" s="85"/>
      <c r="AQ40" s="85"/>
    </row>
    <row r="41" customFormat="false" ht="24" hidden="true" customHeight="true" outlineLevel="0" collapsed="false">
      <c r="A41" s="12"/>
      <c r="B41" s="296" t="s">
        <v>62</v>
      </c>
      <c r="C41" s="297" t="s">
        <v>63</v>
      </c>
      <c r="D41" s="297"/>
      <c r="E41" s="298" t="s">
        <v>64</v>
      </c>
      <c r="F41" s="298"/>
      <c r="G41" s="298" t="s">
        <v>65</v>
      </c>
      <c r="H41" s="298"/>
      <c r="I41" s="299" t="s">
        <v>16</v>
      </c>
      <c r="J41" s="299"/>
      <c r="K41" s="300"/>
      <c r="L41" s="300"/>
      <c r="M41" s="300"/>
      <c r="N41" s="296" t="s">
        <v>66</v>
      </c>
      <c r="O41" s="296"/>
      <c r="P41" s="296"/>
      <c r="Q41" s="300"/>
      <c r="R41" s="300"/>
      <c r="S41" s="300"/>
      <c r="T41" s="300"/>
      <c r="U41" s="296" t="s">
        <v>67</v>
      </c>
      <c r="V41" s="296"/>
      <c r="W41" s="300"/>
      <c r="X41" s="296" t="s">
        <v>68</v>
      </c>
      <c r="Y41" s="296"/>
      <c r="Z41" s="297" t="s">
        <v>69</v>
      </c>
      <c r="AA41" s="301" t="s">
        <v>70</v>
      </c>
      <c r="AB41" s="302"/>
      <c r="AC41" s="302"/>
      <c r="AD41" s="302"/>
      <c r="AE41" s="302"/>
      <c r="AF41" s="303"/>
      <c r="AG41" s="303"/>
      <c r="AH41" s="303"/>
      <c r="AI41" s="304"/>
      <c r="AJ41" s="303"/>
      <c r="AK41" s="304"/>
      <c r="AL41" s="85"/>
      <c r="AM41" s="85"/>
      <c r="AN41" s="85"/>
      <c r="AO41" s="85"/>
      <c r="AP41" s="85"/>
      <c r="AQ41" s="85"/>
    </row>
    <row r="42" customFormat="false" ht="24" hidden="true" customHeight="true" outlineLevel="0" collapsed="false">
      <c r="A42" s="305"/>
      <c r="B42" s="306" t="s">
        <v>71</v>
      </c>
      <c r="C42" s="307"/>
      <c r="D42" s="308"/>
      <c r="E42" s="309"/>
      <c r="F42" s="308"/>
      <c r="G42" s="309"/>
      <c r="H42" s="308"/>
      <c r="I42" s="309"/>
      <c r="J42" s="310"/>
      <c r="K42" s="311"/>
      <c r="L42" s="311"/>
      <c r="M42" s="311"/>
      <c r="N42" s="312"/>
      <c r="O42" s="313"/>
      <c r="P42" s="314"/>
      <c r="Q42" s="315"/>
      <c r="R42" s="315"/>
      <c r="S42" s="315"/>
      <c r="T42" s="315"/>
      <c r="U42" s="307"/>
      <c r="V42" s="310"/>
      <c r="W42" s="311"/>
      <c r="X42" s="312"/>
      <c r="Y42" s="314"/>
      <c r="Z42" s="316"/>
      <c r="AA42" s="317"/>
      <c r="AB42" s="302"/>
      <c r="AC42" s="302"/>
      <c r="AD42" s="302"/>
      <c r="AE42" s="302"/>
      <c r="AF42" s="303"/>
      <c r="AG42" s="303"/>
      <c r="AH42" s="303"/>
      <c r="AI42" s="304"/>
      <c r="AJ42" s="303"/>
      <c r="AK42" s="304"/>
      <c r="AL42" s="85"/>
      <c r="AM42" s="85"/>
      <c r="AN42" s="85"/>
      <c r="AO42" s="85"/>
      <c r="AP42" s="85"/>
      <c r="AQ42" s="85"/>
    </row>
    <row r="43" customFormat="false" ht="24" hidden="true" customHeight="true" outlineLevel="0" collapsed="false">
      <c r="A43" s="305"/>
      <c r="B43" s="318" t="s">
        <v>11</v>
      </c>
      <c r="C43" s="319"/>
      <c r="D43" s="320"/>
      <c r="E43" s="321"/>
      <c r="F43" s="320"/>
      <c r="G43" s="321"/>
      <c r="H43" s="320"/>
      <c r="I43" s="321"/>
      <c r="J43" s="322"/>
      <c r="K43" s="323"/>
      <c r="L43" s="323"/>
      <c r="M43" s="323"/>
      <c r="N43" s="324"/>
      <c r="O43" s="325"/>
      <c r="P43" s="326"/>
      <c r="Q43" s="327"/>
      <c r="R43" s="327"/>
      <c r="S43" s="327"/>
      <c r="T43" s="327"/>
      <c r="U43" s="319"/>
      <c r="V43" s="322"/>
      <c r="W43" s="323"/>
      <c r="X43" s="324"/>
      <c r="Y43" s="326"/>
      <c r="Z43" s="328"/>
      <c r="AA43" s="317"/>
      <c r="AB43" s="329"/>
      <c r="AC43" s="329"/>
      <c r="AD43" s="329"/>
      <c r="AE43" s="329"/>
      <c r="AF43" s="330"/>
      <c r="AG43" s="330"/>
      <c r="AH43" s="330"/>
      <c r="AI43" s="331"/>
      <c r="AJ43" s="330"/>
      <c r="AK43" s="331"/>
      <c r="AL43" s="85"/>
      <c r="AM43" s="85"/>
      <c r="AN43" s="85"/>
      <c r="AO43" s="85"/>
      <c r="AP43" s="85"/>
      <c r="AQ43" s="85"/>
    </row>
    <row r="44" customFormat="false" ht="24" hidden="true" customHeight="true" outlineLevel="0" collapsed="false">
      <c r="A44" s="305"/>
      <c r="B44" s="332" t="s">
        <v>72</v>
      </c>
      <c r="C44" s="333">
        <f aca="false">C42+C43</f>
      </c>
      <c r="D44" s="334">
        <f aca="false">C44*0.3025</f>
      </c>
      <c r="E44" s="335">
        <f aca="false">E42+E43</f>
      </c>
      <c r="F44" s="334">
        <f aca="false">E44*0.3025</f>
      </c>
      <c r="G44" s="336">
        <f aca="false">G42+G43</f>
      </c>
      <c r="H44" s="334">
        <f aca="false">G44*0.3025</f>
      </c>
      <c r="I44" s="336">
        <f aca="false">I42+I43</f>
      </c>
      <c r="J44" s="337">
        <f aca="false">I44*0.3025</f>
      </c>
      <c r="K44" s="338"/>
      <c r="L44" s="338"/>
      <c r="M44" s="338"/>
      <c r="N44" s="339">
        <f aca="false">SUM(N42:N43)</f>
      </c>
      <c r="O44" s="340"/>
      <c r="P44" s="337">
        <f aca="false">N44*0.3025</f>
      </c>
      <c r="Q44" s="338"/>
      <c r="R44" s="338"/>
      <c r="S44" s="338"/>
      <c r="T44" s="338"/>
      <c r="U44" s="333"/>
      <c r="V44" s="337">
        <f aca="false">U44*0.3025</f>
      </c>
      <c r="W44" s="338"/>
      <c r="X44" s="333">
        <f aca="false">N44+U44</f>
      </c>
      <c r="Y44" s="337">
        <f aca="false">X44*0.3025</f>
      </c>
      <c r="Z44" s="341">
        <f aca="false">SUM(Z42:Z43)</f>
      </c>
      <c r="AA44" s="342">
        <f aca="false">SUM(AA42:AA43)</f>
      </c>
      <c r="AB44" s="329"/>
      <c r="AC44" s="329"/>
      <c r="AD44" s="329"/>
      <c r="AE44" s="329"/>
      <c r="AF44" s="330"/>
      <c r="AG44" s="330"/>
      <c r="AH44" s="330"/>
      <c r="AI44" s="331"/>
      <c r="AJ44" s="330"/>
      <c r="AK44" s="331"/>
      <c r="AL44" s="85"/>
      <c r="AM44" s="85"/>
      <c r="AN44" s="85"/>
      <c r="AO44" s="85"/>
      <c r="AP44" s="85"/>
      <c r="AQ44" s="85"/>
    </row>
    <row r="45" customFormat="false" ht="24" hidden="false" customHeight="true" outlineLevel="0" collapsed="false">
      <c r="A45" s="5"/>
      <c r="B45" s="343"/>
      <c r="C45" s="344"/>
      <c r="D45" s="302"/>
      <c r="E45" s="302"/>
      <c r="F45" s="329"/>
      <c r="G45" s="302"/>
      <c r="H45" s="288"/>
      <c r="I45" s="13"/>
      <c r="J45" s="343"/>
      <c r="K45" s="343"/>
      <c r="L45" s="343"/>
      <c r="M45" s="343"/>
      <c r="N45" s="343"/>
      <c r="O45" s="343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345"/>
      <c r="AA45" s="343"/>
      <c r="AB45" s="346"/>
      <c r="AC45" s="346"/>
      <c r="AD45" s="346"/>
      <c r="AE45" s="346"/>
      <c r="AF45" s="331"/>
      <c r="AG45" s="331"/>
      <c r="AH45" s="331"/>
      <c r="AI45" s="331"/>
      <c r="AJ45" s="331"/>
      <c r="AK45" s="331"/>
      <c r="AL45" s="85"/>
      <c r="AM45" s="85"/>
      <c r="AN45" s="85"/>
      <c r="AO45" s="85"/>
      <c r="AP45" s="85"/>
      <c r="AQ45" s="85"/>
    </row>
    <row r="46" customFormat="false" ht="24" hidden="false" customHeight="true" outlineLevel="0" collapsed="false">
      <c r="A46" s="5"/>
      <c r="B46" s="347" t="s">
        <v>73</v>
      </c>
      <c r="C46" s="347"/>
      <c r="D46" s="347"/>
      <c r="E46" s="347"/>
      <c r="F46" s="347"/>
      <c r="G46" s="302"/>
      <c r="H46" s="288"/>
      <c r="I46" s="13"/>
      <c r="J46" s="343"/>
      <c r="K46" s="343"/>
      <c r="L46" s="343"/>
      <c r="M46" s="343"/>
      <c r="N46" s="343"/>
      <c r="O46" s="343"/>
      <c r="P46" s="302"/>
      <c r="Q46" s="302"/>
      <c r="R46" s="302"/>
      <c r="S46" s="302"/>
      <c r="T46" s="302"/>
      <c r="U46" s="329"/>
      <c r="V46" s="302"/>
      <c r="W46" s="302"/>
      <c r="X46" s="329"/>
      <c r="Y46" s="302"/>
      <c r="Z46" s="329"/>
      <c r="AA46" s="295"/>
      <c r="AB46" s="329"/>
      <c r="AC46" s="329"/>
      <c r="AD46" s="295" t="s">
        <v>61</v>
      </c>
      <c r="AE46" s="348"/>
      <c r="AF46" s="116"/>
      <c r="AG46" s="116"/>
      <c r="AH46" s="116"/>
      <c r="AI46" s="117"/>
      <c r="AJ46" s="116"/>
      <c r="AK46" s="117"/>
      <c r="AL46" s="85"/>
      <c r="AM46" s="85"/>
      <c r="AN46" s="85"/>
      <c r="AO46" s="85"/>
      <c r="AP46" s="85"/>
      <c r="AQ46" s="85"/>
    </row>
    <row r="47" s="366" customFormat="true" ht="24" hidden="false" customHeight="true" outlineLevel="0" collapsed="false">
      <c r="A47" s="374"/>
      <c r="B47" s="296" t="s">
        <v>62</v>
      </c>
      <c r="C47" s="350" t="s">
        <v>74</v>
      </c>
      <c r="D47" s="301" t="s">
        <v>63</v>
      </c>
      <c r="E47" s="299" t="s">
        <v>75</v>
      </c>
      <c r="F47" s="351" t="s">
        <v>76</v>
      </c>
      <c r="G47" s="351"/>
      <c r="H47" s="352" t="s">
        <v>77</v>
      </c>
      <c r="I47" s="352"/>
      <c r="J47" s="353" t="s">
        <v>78</v>
      </c>
      <c r="K47" s="353"/>
      <c r="L47" s="353"/>
      <c r="M47" s="353"/>
      <c r="N47" s="353"/>
      <c r="O47" s="353"/>
      <c r="P47" s="354" t="s">
        <v>79</v>
      </c>
      <c r="Q47" s="354"/>
      <c r="R47" s="355"/>
      <c r="S47" s="355"/>
      <c r="T47" s="355"/>
      <c r="U47" s="355"/>
      <c r="V47" s="356"/>
      <c r="W47" s="357"/>
      <c r="X47" s="358"/>
      <c r="Y47" s="296" t="s">
        <v>68</v>
      </c>
      <c r="Z47" s="296"/>
      <c r="AA47" s="359" t="s">
        <v>79</v>
      </c>
      <c r="AB47" s="360" t="s">
        <v>80</v>
      </c>
      <c r="AC47" s="360"/>
      <c r="AD47" s="361" t="s">
        <v>81</v>
      </c>
      <c r="AE47" s="362"/>
      <c r="AF47" s="363"/>
      <c r="AG47" s="363"/>
      <c r="AH47" s="363"/>
      <c r="AI47" s="364"/>
      <c r="AJ47" s="363"/>
      <c r="AK47" s="364"/>
      <c r="AL47" s="365"/>
      <c r="AM47" s="365"/>
      <c r="AN47" s="365"/>
      <c r="AO47" s="365"/>
      <c r="AP47" s="365"/>
      <c r="AQ47" s="365"/>
    </row>
    <row r="48" s="366" customFormat="true" ht="24" hidden="false" customHeight="true" outlineLevel="0" collapsed="false">
      <c r="A48" s="374"/>
      <c r="B48" s="296"/>
      <c r="C48" s="350"/>
      <c r="D48" s="301"/>
      <c r="E48" s="299"/>
      <c r="F48" s="367" t="s">
        <v>82</v>
      </c>
      <c r="G48" s="367"/>
      <c r="H48" s="352"/>
      <c r="I48" s="352"/>
      <c r="J48" s="368" t="s">
        <v>83</v>
      </c>
      <c r="K48" s="368"/>
      <c r="L48" s="368"/>
      <c r="M48" s="368"/>
      <c r="N48" s="368"/>
      <c r="O48" s="368"/>
      <c r="P48" s="369" t="s">
        <v>84</v>
      </c>
      <c r="Q48" s="369"/>
      <c r="R48" s="370"/>
      <c r="S48" s="368" t="s">
        <v>17</v>
      </c>
      <c r="T48" s="368"/>
      <c r="U48" s="368" t="s">
        <v>85</v>
      </c>
      <c r="V48" s="368"/>
      <c r="W48" s="371"/>
      <c r="X48" s="372"/>
      <c r="Y48" s="296"/>
      <c r="Z48" s="296"/>
      <c r="AA48" s="359"/>
      <c r="AB48" s="360"/>
      <c r="AC48" s="360"/>
      <c r="AD48" s="361"/>
      <c r="AE48" s="373"/>
      <c r="AF48" s="116"/>
      <c r="AG48" s="116"/>
      <c r="AH48" s="116"/>
      <c r="AI48" s="117"/>
      <c r="AJ48" s="330"/>
      <c r="AK48" s="331"/>
      <c r="AL48" s="374" t="s">
        <v>14</v>
      </c>
      <c r="AM48" s="374"/>
      <c r="AN48" s="374"/>
      <c r="AO48" s="374"/>
      <c r="AP48" s="365"/>
      <c r="AQ48" s="365"/>
    </row>
    <row r="49" s="366" customFormat="true" ht="24" hidden="false" customHeight="true" outlineLevel="0" collapsed="false">
      <c r="A49" s="374"/>
      <c r="B49" s="375" t="s">
        <v>86</v>
      </c>
      <c r="C49" s="376"/>
      <c r="D49" s="377"/>
      <c r="E49" s="378">
        <f aca="false">C49/$C$59</f>
      </c>
      <c r="F49" s="379"/>
      <c r="G49" s="380">
        <f aca="false">F49*0.3025</f>
      </c>
      <c r="H49" s="381">
        <f aca="false">+D49+F49</f>
      </c>
      <c r="I49" s="382">
        <f aca="false">H49*0.3025</f>
      </c>
      <c r="J49" s="383"/>
      <c r="K49" s="383"/>
      <c r="L49" s="383"/>
      <c r="M49" s="383"/>
      <c r="N49" s="383"/>
      <c r="O49" s="383"/>
      <c r="P49" s="384"/>
      <c r="Q49" s="382">
        <f aca="false">P49*0.3025</f>
      </c>
      <c r="R49" s="382">
        <f aca="false">P49*0.3025</f>
      </c>
      <c r="S49" s="384">
        <f aca="false">ROUND(D49/$D$59*$S$59,2)</f>
      </c>
      <c r="T49" s="382">
        <f aca="false">S49*0.3025</f>
      </c>
      <c r="U49" s="385">
        <f aca="false">J49+P49+S49</f>
      </c>
      <c r="V49" s="382">
        <f aca="false">U49*0.3025</f>
      </c>
      <c r="W49" s="386"/>
      <c r="X49" s="382"/>
      <c r="Y49" s="387">
        <f aca="false">H49+U49</f>
      </c>
      <c r="Z49" s="388">
        <f aca="false">Y49*0.3025</f>
      </c>
      <c r="AA49" s="389">
        <f aca="false">+AL49</f>
      </c>
      <c r="AB49" s="390">
        <f aca="false">+H49+P49</f>
      </c>
      <c r="AC49" s="380">
        <f aca="false">AB49*0.3025</f>
      </c>
      <c r="AD49" s="391"/>
      <c r="AE49" s="392"/>
      <c r="AF49" s="363"/>
      <c r="AG49" s="363"/>
      <c r="AH49" s="363"/>
      <c r="AI49" s="364"/>
      <c r="AJ49" s="363"/>
      <c r="AK49" s="364"/>
      <c r="AL49" s="365">
        <f aca="false">SUM(AF49:AK49)</f>
      </c>
      <c r="AM49" s="365"/>
      <c r="AN49" s="365"/>
      <c r="AO49" s="365"/>
      <c r="AP49" s="365"/>
      <c r="AQ49" s="365"/>
    </row>
    <row r="50" s="366" customFormat="true" ht="24" hidden="false" customHeight="true" outlineLevel="0" collapsed="false">
      <c r="A50" s="374"/>
      <c r="B50" s="375" t="s">
        <v>87</v>
      </c>
      <c r="C50" s="376"/>
      <c r="D50" s="377"/>
      <c r="E50" s="378">
        <f aca="false">C50/$C$59</f>
      </c>
      <c r="F50" s="379"/>
      <c r="G50" s="380">
        <f aca="false">F50*0.3025</f>
      </c>
      <c r="H50" s="381">
        <f aca="false">+D50+F50</f>
      </c>
      <c r="I50" s="382">
        <f aca="false">H50*0.3025</f>
      </c>
      <c r="J50" s="383"/>
      <c r="K50" s="383"/>
      <c r="L50" s="383"/>
      <c r="M50" s="383"/>
      <c r="N50" s="383"/>
      <c r="O50" s="383"/>
      <c r="P50" s="384"/>
      <c r="Q50" s="382">
        <f aca="false">P50*0.3025</f>
      </c>
      <c r="R50" s="382">
        <f aca="false">P50*0.3025</f>
      </c>
      <c r="S50" s="384">
        <f aca="false">ROUND(D50/$D$59*$S$59,2)</f>
      </c>
      <c r="T50" s="382">
        <f aca="false">S50*0.3025</f>
      </c>
      <c r="U50" s="385">
        <f aca="false">J50+P50+S50</f>
      </c>
      <c r="V50" s="382">
        <f aca="false">U50*0.3025</f>
      </c>
      <c r="W50" s="393"/>
      <c r="X50" s="382"/>
      <c r="Y50" s="387">
        <f aca="false">H50+U50</f>
      </c>
      <c r="Z50" s="388">
        <f aca="false">Y50*0.3025</f>
      </c>
      <c r="AA50" s="394"/>
      <c r="AB50" s="390">
        <f aca="false">+H50+P50</f>
      </c>
      <c r="AC50" s="380">
        <f aca="false">AB50*0.3025</f>
      </c>
      <c r="AD50" s="391"/>
      <c r="AE50" s="395"/>
      <c r="AF50" s="330"/>
      <c r="AG50" s="330"/>
      <c r="AH50" s="363"/>
      <c r="AI50" s="364"/>
      <c r="AJ50" s="363"/>
      <c r="AK50" s="364"/>
      <c r="AL50" s="396">
        <f aca="false">SUM(AH50:AK50)</f>
      </c>
      <c r="AM50" s="365"/>
      <c r="AN50" s="365"/>
      <c r="AO50" s="365"/>
      <c r="AP50" s="365"/>
      <c r="AQ50" s="365"/>
    </row>
    <row r="51" s="366" customFormat="true" ht="24" hidden="false" customHeight="true" outlineLevel="0" collapsed="false">
      <c r="A51" s="374"/>
      <c r="B51" s="375" t="s">
        <v>88</v>
      </c>
      <c r="C51" s="376"/>
      <c r="D51" s="377"/>
      <c r="E51" s="378">
        <f aca="false">C51/$C$59</f>
      </c>
      <c r="F51" s="379"/>
      <c r="G51" s="380">
        <f aca="false">F51*0.3025</f>
      </c>
      <c r="H51" s="381">
        <f aca="false">+D51+F51</f>
      </c>
      <c r="I51" s="382">
        <f aca="false">H51*0.3025</f>
      </c>
      <c r="J51" s="383"/>
      <c r="K51" s="383"/>
      <c r="L51" s="383"/>
      <c r="M51" s="383"/>
      <c r="N51" s="383"/>
      <c r="O51" s="383"/>
      <c r="P51" s="384"/>
      <c r="Q51" s="382">
        <f aca="false">P51*0.3025</f>
      </c>
      <c r="R51" s="382">
        <f aca="false">P51*0.3025</f>
      </c>
      <c r="S51" s="384">
        <f aca="false">ROUND(D51/$D$59*$S$59,2)</f>
      </c>
      <c r="T51" s="382">
        <f aca="false">S51*0.3025</f>
      </c>
      <c r="U51" s="385">
        <f aca="false">J51+P51+S51</f>
      </c>
      <c r="V51" s="382">
        <f aca="false">U51*0.3025</f>
      </c>
      <c r="W51" s="397"/>
      <c r="X51" s="398"/>
      <c r="Y51" s="387">
        <f aca="false">H51+U51</f>
      </c>
      <c r="Z51" s="388">
        <f aca="false">Y51*0.3025</f>
      </c>
      <c r="AA51" s="394"/>
      <c r="AB51" s="390">
        <f aca="false">+H51+P51</f>
      </c>
      <c r="AC51" s="380">
        <f aca="false">AB51*0.3025</f>
      </c>
      <c r="AD51" s="391"/>
      <c r="AE51" s="399"/>
      <c r="AF51" s="330"/>
      <c r="AG51" s="330"/>
      <c r="AH51" s="363"/>
      <c r="AI51" s="364"/>
      <c r="AJ51" s="363"/>
      <c r="AK51" s="364"/>
      <c r="AL51" s="396">
        <f aca="false">SUM(AH51:AK51)</f>
      </c>
      <c r="AM51" s="365"/>
      <c r="AN51" s="365"/>
      <c r="AO51" s="365"/>
      <c r="AP51" s="365"/>
      <c r="AQ51" s="365"/>
    </row>
    <row r="52" s="366" customFormat="true" ht="24" hidden="false" customHeight="true" outlineLevel="0" collapsed="false">
      <c r="A52" s="374"/>
      <c r="B52" s="375" t="s">
        <v>89</v>
      </c>
      <c r="C52" s="376"/>
      <c r="D52" s="377"/>
      <c r="E52" s="378">
        <f aca="false">C52/$C$59</f>
      </c>
      <c r="F52" s="379"/>
      <c r="G52" s="380">
        <f aca="false">F52*0.3025</f>
      </c>
      <c r="H52" s="381">
        <f aca="false">+D52+F52</f>
      </c>
      <c r="I52" s="382">
        <f aca="false">H52*0.3025</f>
      </c>
      <c r="J52" s="383"/>
      <c r="K52" s="383"/>
      <c r="L52" s="383"/>
      <c r="M52" s="383"/>
      <c r="N52" s="383"/>
      <c r="O52" s="383"/>
      <c r="P52" s="384"/>
      <c r="Q52" s="382">
        <f aca="false">P52*0.3025</f>
      </c>
      <c r="R52" s="382"/>
      <c r="S52" s="384"/>
      <c r="T52" s="382"/>
      <c r="U52" s="385"/>
      <c r="V52" s="382"/>
      <c r="W52" s="397"/>
      <c r="X52" s="398"/>
      <c r="Y52" s="387"/>
      <c r="Z52" s="388"/>
      <c r="AA52" s="389"/>
      <c r="AB52" s="390">
        <f aca="false">+H52+P52</f>
      </c>
      <c r="AC52" s="380">
        <f aca="false">AB52*0.3025</f>
      </c>
      <c r="AD52" s="400"/>
      <c r="AE52" s="399"/>
      <c r="AF52" s="330"/>
      <c r="AG52" s="330"/>
      <c r="AH52" s="330"/>
      <c r="AI52" s="331"/>
      <c r="AJ52" s="330"/>
      <c r="AK52" s="331"/>
      <c r="AL52" s="365"/>
      <c r="AM52" s="365"/>
      <c r="AN52" s="365"/>
      <c r="AO52" s="365"/>
      <c r="AP52" s="365"/>
      <c r="AQ52" s="365"/>
    </row>
    <row r="53" s="366" customFormat="true" ht="24" hidden="true" customHeight="true" outlineLevel="0" collapsed="false">
      <c r="A53" s="374"/>
      <c r="B53" s="375"/>
      <c r="C53" s="376"/>
      <c r="D53" s="377"/>
      <c r="E53" s="378"/>
      <c r="F53" s="379"/>
      <c r="G53" s="380"/>
      <c r="H53" s="381"/>
      <c r="I53" s="382"/>
      <c r="J53" s="383"/>
      <c r="K53" s="383"/>
      <c r="L53" s="383"/>
      <c r="M53" s="383"/>
      <c r="N53" s="383"/>
      <c r="O53" s="383"/>
      <c r="P53" s="384"/>
      <c r="Q53" s="401"/>
      <c r="R53" s="382"/>
      <c r="S53" s="384"/>
      <c r="T53" s="382"/>
      <c r="U53" s="385"/>
      <c r="V53" s="382"/>
      <c r="W53" s="397"/>
      <c r="X53" s="398"/>
      <c r="Y53" s="387"/>
      <c r="Z53" s="388"/>
      <c r="AA53" s="394"/>
      <c r="AB53" s="390"/>
      <c r="AC53" s="380"/>
      <c r="AD53" s="400"/>
      <c r="AE53" s="399"/>
      <c r="AF53" s="330"/>
      <c r="AG53" s="330"/>
      <c r="AH53" s="330"/>
      <c r="AI53" s="331"/>
      <c r="AJ53" s="330"/>
      <c r="AK53" s="331"/>
      <c r="AL53" s="365"/>
      <c r="AM53" s="365"/>
      <c r="AN53" s="365"/>
      <c r="AO53" s="365"/>
      <c r="AP53" s="365"/>
      <c r="AQ53" s="365"/>
    </row>
    <row r="54" s="366" customFormat="true" ht="24" hidden="true" customHeight="true" outlineLevel="0" collapsed="false">
      <c r="A54" s="374"/>
      <c r="B54" s="375"/>
      <c r="C54" s="376"/>
      <c r="D54" s="377"/>
      <c r="E54" s="378"/>
      <c r="F54" s="379"/>
      <c r="G54" s="380"/>
      <c r="H54" s="381"/>
      <c r="I54" s="382"/>
      <c r="J54" s="383"/>
      <c r="K54" s="383"/>
      <c r="L54" s="383"/>
      <c r="M54" s="383"/>
      <c r="N54" s="383"/>
      <c r="O54" s="383"/>
      <c r="P54" s="384"/>
      <c r="Q54" s="401"/>
      <c r="R54" s="382"/>
      <c r="S54" s="384"/>
      <c r="T54" s="382"/>
      <c r="U54" s="385"/>
      <c r="V54" s="382"/>
      <c r="W54" s="397"/>
      <c r="X54" s="398"/>
      <c r="Y54" s="387"/>
      <c r="Z54" s="388"/>
      <c r="AA54" s="394"/>
      <c r="AB54" s="390"/>
      <c r="AC54" s="380"/>
      <c r="AD54" s="400"/>
      <c r="AE54" s="399"/>
      <c r="AF54" s="330"/>
      <c r="AG54" s="330"/>
      <c r="AH54" s="330"/>
      <c r="AI54" s="331"/>
      <c r="AJ54" s="330"/>
      <c r="AK54" s="331"/>
      <c r="AL54" s="365"/>
      <c r="AM54" s="365"/>
      <c r="AN54" s="365"/>
      <c r="AO54" s="365"/>
      <c r="AP54" s="365"/>
      <c r="AQ54" s="365"/>
    </row>
    <row r="55" s="366" customFormat="true" ht="24" hidden="true" customHeight="true" outlineLevel="0" collapsed="false">
      <c r="A55" s="374"/>
      <c r="B55" s="375"/>
      <c r="C55" s="376"/>
      <c r="D55" s="377"/>
      <c r="E55" s="398">
        <f aca="false">C55/$C$59</f>
      </c>
      <c r="F55" s="402">
        <f aca="false">ROUND(D55/$D$59*($N$29+$S$29)+D55*0.02,2)</f>
      </c>
      <c r="G55" s="403">
        <f aca="false">F55*0.3025</f>
      </c>
      <c r="H55" s="404">
        <f aca="false">+D55+F55</f>
      </c>
      <c r="I55" s="398">
        <f aca="false">H55*0.3025</f>
      </c>
      <c r="J55" s="383"/>
      <c r="K55" s="383"/>
      <c r="L55" s="383"/>
      <c r="M55" s="383"/>
      <c r="N55" s="383"/>
      <c r="O55" s="383"/>
      <c r="P55" s="402"/>
      <c r="Q55" s="397"/>
      <c r="R55" s="398">
        <f aca="false">P55*0.3025</f>
      </c>
      <c r="S55" s="402">
        <f aca="false">ROUND(D55/$D$59*$S$59,2)</f>
      </c>
      <c r="T55" s="398">
        <f aca="false">S55*0.3025</f>
      </c>
      <c r="U55" s="405">
        <f aca="false">J55+P55+S55</f>
      </c>
      <c r="V55" s="398">
        <f aca="false">U55*0.3025</f>
      </c>
      <c r="W55" s="397"/>
      <c r="X55" s="398"/>
      <c r="Y55" s="406">
        <f aca="false">H55+U55</f>
      </c>
      <c r="Z55" s="256">
        <f aca="false">Y55*0.3025</f>
      </c>
      <c r="AA55" s="389"/>
      <c r="AB55" s="407">
        <f aca="false">+D55+AA55</f>
      </c>
      <c r="AC55" s="403">
        <f aca="false">AB55*0.3025</f>
      </c>
      <c r="AD55" s="400"/>
      <c r="AE55" s="399"/>
      <c r="AF55" s="330"/>
      <c r="AG55" s="330"/>
      <c r="AH55" s="330"/>
      <c r="AI55" s="331"/>
      <c r="AJ55" s="330"/>
      <c r="AK55" s="331"/>
      <c r="AL55" s="365"/>
      <c r="AM55" s="365"/>
      <c r="AN55" s="365"/>
      <c r="AO55" s="365"/>
      <c r="AP55" s="365"/>
      <c r="AQ55" s="365"/>
    </row>
    <row r="56" s="366" customFormat="true" ht="24" hidden="true" customHeight="true" outlineLevel="0" collapsed="false">
      <c r="A56" s="374"/>
      <c r="B56" s="375"/>
      <c r="C56" s="376"/>
      <c r="D56" s="377"/>
      <c r="E56" s="398">
        <f aca="false">C56/$C$59</f>
      </c>
      <c r="F56" s="402">
        <f aca="false">ROUND(D56/$D$59*($N$29+$S$29)+D56*0.02,2)</f>
      </c>
      <c r="G56" s="403">
        <f aca="false">F56*0.3025</f>
      </c>
      <c r="H56" s="404">
        <f aca="false">+D56+F56</f>
      </c>
      <c r="I56" s="398">
        <f aca="false">H56*0.3025</f>
      </c>
      <c r="J56" s="383"/>
      <c r="K56" s="383"/>
      <c r="L56" s="383"/>
      <c r="M56" s="383"/>
      <c r="N56" s="383"/>
      <c r="O56" s="383"/>
      <c r="P56" s="402"/>
      <c r="Q56" s="397"/>
      <c r="R56" s="398">
        <f aca="false">P56*0.3025</f>
      </c>
      <c r="S56" s="402">
        <f aca="false">ROUND(D56/$D$59*$S$59,2)</f>
      </c>
      <c r="T56" s="398">
        <f aca="false">S56*0.3025</f>
      </c>
      <c r="U56" s="405">
        <f aca="false">J56+P56+S56</f>
      </c>
      <c r="V56" s="398">
        <f aca="false">U56*0.3025</f>
      </c>
      <c r="W56" s="397"/>
      <c r="X56" s="398"/>
      <c r="Y56" s="406">
        <f aca="false">H56+U56</f>
      </c>
      <c r="Z56" s="256">
        <f aca="false">Y56*0.3025</f>
      </c>
      <c r="AA56" s="394"/>
      <c r="AB56" s="407">
        <f aca="false">+D56+AA56</f>
      </c>
      <c r="AC56" s="403">
        <f aca="false">AB56*0.3025</f>
      </c>
      <c r="AD56" s="400"/>
      <c r="AE56" s="399"/>
      <c r="AF56" s="330"/>
      <c r="AG56" s="330"/>
      <c r="AH56" s="330"/>
      <c r="AI56" s="331"/>
      <c r="AJ56" s="330"/>
      <c r="AK56" s="331"/>
      <c r="AL56" s="365"/>
      <c r="AM56" s="365"/>
      <c r="AN56" s="365"/>
      <c r="AO56" s="365"/>
      <c r="AP56" s="365"/>
      <c r="AQ56" s="365"/>
    </row>
    <row r="57" s="366" customFormat="true" ht="24" hidden="true" customHeight="true" outlineLevel="0" collapsed="false">
      <c r="A57" s="374"/>
      <c r="B57" s="375"/>
      <c r="C57" s="376"/>
      <c r="D57" s="377"/>
      <c r="E57" s="398">
        <f aca="false">C57/$C$59</f>
      </c>
      <c r="F57" s="402">
        <f aca="false">ROUND(D57/$D$59*($N$29+$S$29)+D57*0.02,2)</f>
      </c>
      <c r="G57" s="403">
        <f aca="false">F57*0.3025</f>
      </c>
      <c r="H57" s="404">
        <f aca="false">+D57+F57</f>
      </c>
      <c r="I57" s="398">
        <f aca="false">H57*0.3025</f>
      </c>
      <c r="J57" s="383"/>
      <c r="K57" s="383"/>
      <c r="L57" s="383"/>
      <c r="M57" s="383"/>
      <c r="N57" s="383"/>
      <c r="O57" s="383"/>
      <c r="P57" s="402"/>
      <c r="Q57" s="397"/>
      <c r="R57" s="398">
        <f aca="false">P57*0.3025</f>
      </c>
      <c r="S57" s="402">
        <f aca="false">ROUND(D57/$D$59*$S$59,2)</f>
      </c>
      <c r="T57" s="398">
        <f aca="false">S57*0.3025</f>
      </c>
      <c r="U57" s="405">
        <f aca="false">J57+P57+S57</f>
      </c>
      <c r="V57" s="398">
        <f aca="false">U57*0.3025</f>
      </c>
      <c r="W57" s="397"/>
      <c r="X57" s="398"/>
      <c r="Y57" s="406">
        <f aca="false">H57+U57</f>
      </c>
      <c r="Z57" s="256">
        <f aca="false">Y57*0.3025</f>
      </c>
      <c r="AA57" s="394"/>
      <c r="AB57" s="407">
        <f aca="false">+D57+AA57</f>
      </c>
      <c r="AC57" s="403">
        <f aca="false">AB57*0.3025</f>
      </c>
      <c r="AD57" s="400"/>
      <c r="AE57" s="399"/>
      <c r="AF57" s="330"/>
      <c r="AG57" s="330"/>
      <c r="AH57" s="330"/>
      <c r="AI57" s="331"/>
      <c r="AJ57" s="330"/>
      <c r="AK57" s="331"/>
      <c r="AL57" s="365"/>
      <c r="AM57" s="365"/>
      <c r="AN57" s="365"/>
      <c r="AO57" s="365"/>
      <c r="AP57" s="365"/>
      <c r="AQ57" s="365"/>
    </row>
    <row r="58" s="366" customFormat="true" ht="24" hidden="false" customHeight="true" outlineLevel="0" collapsed="false">
      <c r="A58" s="374"/>
      <c r="B58" s="375"/>
      <c r="C58" s="376"/>
      <c r="D58" s="377"/>
      <c r="E58" s="398">
        <f aca="false">C58/$C$59</f>
      </c>
      <c r="F58" s="402">
        <f aca="false">ROUND(D58/$D$59*$N$29+D58*0.02,2)</f>
      </c>
      <c r="G58" s="403">
        <f aca="false">F58*0.3025</f>
      </c>
      <c r="H58" s="404">
        <f aca="false">+D58+F58</f>
      </c>
      <c r="I58" s="398">
        <f aca="false">H58*0.3025</f>
      </c>
      <c r="J58" s="383"/>
      <c r="K58" s="383"/>
      <c r="L58" s="383"/>
      <c r="M58" s="383"/>
      <c r="N58" s="383"/>
      <c r="O58" s="383"/>
      <c r="P58" s="402"/>
      <c r="Q58" s="397"/>
      <c r="R58" s="398">
        <f aca="false">P58*0.3025</f>
      </c>
      <c r="S58" s="402">
        <f aca="false">ROUND(D58/$D$59*$S$59,2)</f>
      </c>
      <c r="T58" s="398">
        <f aca="false">S58*0.3025</f>
      </c>
      <c r="U58" s="405">
        <f aca="false">J58+P58+S58</f>
      </c>
      <c r="V58" s="398">
        <f aca="false">U58*0.3025</f>
      </c>
      <c r="W58" s="397"/>
      <c r="X58" s="398"/>
      <c r="Y58" s="406">
        <f aca="false">H58+U58</f>
      </c>
      <c r="Z58" s="256">
        <f aca="false">Y58*0.3025</f>
      </c>
      <c r="AA58" s="389"/>
      <c r="AB58" s="407">
        <f aca="false">+D58+AA58</f>
      </c>
      <c r="AC58" s="403">
        <f aca="false">AB58*0.3025</f>
      </c>
      <c r="AD58" s="400"/>
      <c r="AE58" s="399"/>
      <c r="AF58" s="330"/>
      <c r="AG58" s="330"/>
      <c r="AH58" s="330"/>
      <c r="AI58" s="331"/>
      <c r="AJ58" s="330"/>
      <c r="AK58" s="331"/>
      <c r="AL58" s="365"/>
      <c r="AM58" s="365"/>
      <c r="AN58" s="365"/>
      <c r="AO58" s="365"/>
      <c r="AP58" s="365"/>
      <c r="AQ58" s="365"/>
    </row>
    <row r="59" s="423" customFormat="true" ht="24" hidden="false" customHeight="true" outlineLevel="0" collapsed="false">
      <c r="A59" s="305"/>
      <c r="B59" s="408" t="s">
        <v>72</v>
      </c>
      <c r="C59" s="409">
        <f aca="false">SUM(C49:C58)</f>
      </c>
      <c r="D59" s="410">
        <f aca="false">+$C$49*D49+$C$50*D50+$C$51*D51+$C$52*D52+$C$53*D53+$C$54*D54+$C$55*D55+$C$56*D56</f>
      </c>
      <c r="E59" s="411">
        <f aca="false">SUM(E49:E58)</f>
      </c>
      <c r="F59" s="412"/>
      <c r="G59" s="413"/>
      <c r="H59" s="414">
        <f aca="false">+$C$49*H49+$C$50*H50+$C$51*H51+$C$52*H52+$C$53*H53+$C$54*H54+$C$55*H55+$C$56*H56</f>
      </c>
      <c r="I59" s="388">
        <f aca="false">H59*0.3025</f>
      </c>
      <c r="J59" s="415"/>
      <c r="K59" s="415"/>
      <c r="L59" s="415"/>
      <c r="M59" s="415"/>
      <c r="N59" s="415"/>
      <c r="O59" s="415"/>
      <c r="P59" s="416">
        <f aca="false">SUM(P49:P58)</f>
      </c>
      <c r="Q59" s="388">
        <f aca="false">P59*0.3025</f>
      </c>
      <c r="R59" s="413">
        <f aca="false">P59*0.3025</f>
      </c>
      <c r="S59" s="417">
        <f aca="false">+Y36</f>
      </c>
      <c r="T59" s="413">
        <f aca="false">S59*0.3025</f>
      </c>
      <c r="U59" s="412">
        <f aca="false">+J59+P59+S59</f>
      </c>
      <c r="V59" s="388">
        <f aca="false">U59*0.3025</f>
      </c>
      <c r="W59" s="418"/>
      <c r="X59" s="388"/>
      <c r="Y59" s="387">
        <f aca="false">H59+U59</f>
      </c>
      <c r="Z59" s="388">
        <f aca="false">Y59*0.3025</f>
      </c>
      <c r="AA59" s="419"/>
      <c r="AB59" s="420">
        <f aca="false">SUM(AB49:AB58)</f>
      </c>
      <c r="AC59" s="388">
        <f aca="false">AB59*0.3025</f>
      </c>
      <c r="AD59" s="421"/>
      <c r="AE59" s="302"/>
      <c r="AF59" s="422"/>
      <c r="AG59" s="422"/>
      <c r="AH59" s="303"/>
      <c r="AI59" s="304"/>
      <c r="AJ59" s="303"/>
      <c r="AK59" s="304"/>
      <c r="AL59" s="85"/>
      <c r="AM59" s="85"/>
      <c r="AN59" s="85"/>
      <c r="AO59" s="85"/>
      <c r="AP59" s="85"/>
      <c r="AQ59" s="85"/>
    </row>
    <row r="60" s="423" customFormat="true" ht="10.5" hidden="false" customHeight="true" outlineLevel="0" collapsed="false">
      <c r="A60" s="305"/>
      <c r="B60" s="343"/>
      <c r="C60" s="424"/>
      <c r="D60" s="425"/>
      <c r="E60" s="426"/>
      <c r="F60" s="425"/>
      <c r="G60" s="329"/>
      <c r="H60" s="425"/>
      <c r="I60" s="329"/>
      <c r="J60" s="425"/>
      <c r="K60" s="425"/>
      <c r="L60" s="425"/>
      <c r="M60" s="425"/>
      <c r="N60" s="329"/>
      <c r="O60" s="329"/>
      <c r="P60" s="427"/>
      <c r="Q60" s="427"/>
      <c r="R60" s="427"/>
      <c r="S60" s="427"/>
      <c r="T60" s="427"/>
      <c r="U60" s="329"/>
      <c r="V60" s="425"/>
      <c r="W60" s="425"/>
      <c r="X60" s="329"/>
      <c r="Y60" s="425"/>
      <c r="Z60" s="329"/>
      <c r="AA60" s="428"/>
      <c r="AB60" s="392"/>
      <c r="AC60" s="302"/>
      <c r="AD60" s="302"/>
      <c r="AE60" s="302"/>
      <c r="AF60" s="303"/>
      <c r="AG60" s="303"/>
      <c r="AH60" s="303"/>
      <c r="AI60" s="304"/>
      <c r="AJ60" s="303"/>
      <c r="AK60" s="304"/>
      <c r="AL60" s="85"/>
      <c r="AM60" s="85"/>
      <c r="AN60" s="85"/>
      <c r="AO60" s="85"/>
      <c r="AP60" s="85"/>
      <c r="AQ60" s="85"/>
    </row>
    <row r="61" customFormat="false" ht="15.95" hidden="false" customHeight="true" outlineLevel="0" collapsed="false">
      <c r="A61" s="5"/>
      <c r="B61" s="85"/>
      <c r="C61" s="85"/>
      <c r="D61" s="85"/>
      <c r="E61" s="85"/>
      <c r="F61" s="85"/>
      <c r="G61" s="85"/>
      <c r="H61" s="85"/>
      <c r="I61" s="85"/>
      <c r="J61" s="85"/>
      <c r="K61" s="85" t="s">
        <v>90</v>
      </c>
      <c r="L61" s="85">
        <f aca="false">J37+L37</f>
      </c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131"/>
      <c r="AJ61" s="85"/>
      <c r="AK61" s="131"/>
      <c r="AL61" s="85"/>
      <c r="AM61" s="85"/>
      <c r="AN61" s="85"/>
      <c r="AO61" s="85"/>
      <c r="AP61" s="85"/>
      <c r="AQ61" s="85"/>
    </row>
    <row r="62" customFormat="false" ht="15.95" hidden="false" customHeight="true" outlineLevel="0" collapsed="false">
      <c r="A62" s="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131"/>
      <c r="AJ62" s="85"/>
      <c r="AK62" s="131"/>
      <c r="AL62" s="85"/>
      <c r="AM62" s="85"/>
      <c r="AN62" s="85"/>
      <c r="AO62" s="85"/>
      <c r="AP62" s="85"/>
      <c r="AQ62" s="85"/>
    </row>
    <row r="63" customFormat="false" ht="15.95" hidden="false" customHeight="true" outlineLevel="0" collapsed="false">
      <c r="A63" s="5"/>
      <c r="B63" s="85"/>
      <c r="C63" s="85"/>
      <c r="D63" s="85"/>
      <c r="E63" s="85"/>
      <c r="F63" s="85"/>
      <c r="G63" s="85"/>
      <c r="H63" s="85"/>
      <c r="I63" s="85"/>
      <c r="J63" s="85"/>
      <c r="K63" s="85" t="s">
        <v>91</v>
      </c>
      <c r="L63" s="85">
        <f aca="false">N37/L61*J37+J37</f>
      </c>
      <c r="M63" s="102">
        <f aca="false">L63/P37</f>
      </c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131"/>
      <c r="AJ63" s="85"/>
      <c r="AK63" s="131"/>
      <c r="AL63" s="85"/>
      <c r="AM63" s="85"/>
      <c r="AN63" s="85"/>
      <c r="AO63" s="85"/>
      <c r="AP63" s="85"/>
      <c r="AQ63" s="85"/>
    </row>
    <row r="64" customFormat="false" ht="15.95" hidden="false" customHeight="true" outlineLevel="0" collapsed="false">
      <c r="A64" s="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131"/>
      <c r="AJ64" s="85"/>
      <c r="AK64" s="131"/>
      <c r="AL64" s="85"/>
      <c r="AM64" s="85"/>
      <c r="AN64" s="85"/>
      <c r="AO64" s="85"/>
      <c r="AP64" s="85"/>
      <c r="AQ64" s="85"/>
    </row>
    <row r="65" customFormat="false" ht="15.95" hidden="false" customHeight="true" outlineLevel="0" collapsed="false">
      <c r="A65" s="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>
        <f aca="false">+P65*1.5</f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131"/>
      <c r="AJ65" s="85"/>
      <c r="AK65" s="131"/>
      <c r="AL65" s="85"/>
      <c r="AM65" s="85"/>
      <c r="AN65" s="85"/>
      <c r="AO65" s="85"/>
      <c r="AP65" s="85"/>
      <c r="AQ65" s="85"/>
    </row>
    <row r="66" customFormat="false" ht="15.95" hidden="false" customHeight="true" outlineLevel="0" collapsed="false">
      <c r="A66" s="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>
        <f aca="false">+N37</f>
      </c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131"/>
      <c r="AJ66" s="85"/>
      <c r="AK66" s="131"/>
      <c r="AL66" s="85"/>
      <c r="AM66" s="85"/>
      <c r="AN66" s="85"/>
      <c r="AO66" s="85"/>
      <c r="AP66" s="85"/>
      <c r="AQ66" s="85"/>
    </row>
    <row r="67" customFormat="false" ht="15.95" hidden="false" customHeight="true" outlineLevel="0" collapsed="false">
      <c r="A67" s="5"/>
      <c r="B67" s="85"/>
      <c r="C67" s="85"/>
      <c r="D67" s="85"/>
      <c r="E67" s="85"/>
      <c r="F67" s="85"/>
      <c r="G67" s="85"/>
      <c r="H67" s="85"/>
      <c r="I67" s="85"/>
      <c r="J67" s="85"/>
      <c r="K67" s="85">
        <f aca="false">+J37</f>
      </c>
      <c r="L67" s="85">
        <f aca="false">+L66*K67/K69</f>
      </c>
      <c r="M67" s="85">
        <f aca="false">+K67+L67</f>
      </c>
      <c r="N67" s="85">
        <f aca="false">+M67/M69</f>
      </c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131"/>
      <c r="AJ67" s="85"/>
      <c r="AK67" s="131"/>
      <c r="AL67" s="85"/>
      <c r="AM67" s="85"/>
      <c r="AN67" s="85"/>
      <c r="AO67" s="85"/>
      <c r="AP67" s="85"/>
      <c r="AQ67" s="85"/>
    </row>
    <row r="68" customFormat="false" ht="15.95" hidden="false" customHeight="true" outlineLevel="0" collapsed="false">
      <c r="A68" s="5"/>
      <c r="B68" s="85"/>
      <c r="C68" s="85"/>
      <c r="D68" s="85"/>
      <c r="E68" s="85"/>
      <c r="F68" s="85"/>
      <c r="G68" s="85"/>
      <c r="H68" s="85"/>
      <c r="I68" s="85"/>
      <c r="J68" s="85"/>
      <c r="K68" s="85">
        <f aca="false">+L37</f>
      </c>
      <c r="L68" s="85">
        <f aca="false">+L66*K68/K69</f>
      </c>
      <c r="M68" s="85">
        <f aca="false">+K68+L68</f>
      </c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131"/>
      <c r="AJ68" s="85"/>
      <c r="AK68" s="131"/>
      <c r="AL68" s="85"/>
      <c r="AM68" s="85"/>
      <c r="AN68" s="85"/>
      <c r="AO68" s="85"/>
      <c r="AP68" s="85"/>
      <c r="AQ68" s="85"/>
    </row>
    <row r="69" customFormat="false" ht="15.95" hidden="false" customHeight="true" outlineLevel="0" collapsed="false">
      <c r="A69" s="5"/>
      <c r="B69" s="85"/>
      <c r="C69" s="85"/>
      <c r="D69" s="85"/>
      <c r="E69" s="85"/>
      <c r="F69" s="85"/>
      <c r="G69" s="85"/>
      <c r="H69" s="85"/>
      <c r="I69" s="85"/>
      <c r="J69" s="85"/>
      <c r="K69" s="85">
        <f aca="false">SUM(K67:K68)</f>
      </c>
      <c r="L69" s="85"/>
      <c r="M69" s="85">
        <f aca="false">SUM(M67:M68)</f>
      </c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131"/>
      <c r="AJ69" s="85"/>
      <c r="AK69" s="131"/>
      <c r="AL69" s="85"/>
      <c r="AM69" s="85"/>
      <c r="AN69" s="85"/>
      <c r="AO69" s="85"/>
      <c r="AP69" s="85"/>
      <c r="AQ69" s="85"/>
    </row>
    <row r="70" customFormat="false" ht="15.95" hidden="false" customHeight="true" outlineLevel="0" collapsed="false">
      <c r="A70" s="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131"/>
      <c r="AJ70" s="85"/>
      <c r="AK70" s="131"/>
      <c r="AL70" s="85"/>
      <c r="AM70" s="85"/>
      <c r="AN70" s="85"/>
      <c r="AO70" s="85"/>
      <c r="AP70" s="85"/>
      <c r="AQ70" s="85"/>
    </row>
    <row r="71" customFormat="false" ht="15.95" hidden="false" customHeight="true" outlineLevel="0" collapsed="false">
      <c r="A71" s="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131"/>
      <c r="AJ71" s="85"/>
      <c r="AK71" s="131"/>
      <c r="AL71" s="85"/>
      <c r="AM71" s="85"/>
      <c r="AN71" s="85"/>
      <c r="AO71" s="85"/>
      <c r="AP71" s="85"/>
      <c r="AQ71" s="85"/>
    </row>
    <row r="72" customFormat="false" ht="15.95" hidden="false" customHeight="true" outlineLevel="0" collapsed="false">
      <c r="A72" s="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131"/>
      <c r="AJ72" s="85"/>
      <c r="AK72" s="131"/>
      <c r="AL72" s="85"/>
      <c r="AM72" s="85"/>
      <c r="AN72" s="85"/>
      <c r="AO72" s="85"/>
      <c r="AP72" s="85"/>
      <c r="AQ72" s="85"/>
    </row>
    <row r="73" customFormat="false" ht="15.95" hidden="false" customHeight="true" outlineLevel="0" collapsed="false">
      <c r="A73" s="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131"/>
      <c r="AJ73" s="85"/>
      <c r="AK73" s="131"/>
      <c r="AL73" s="85"/>
      <c r="AM73" s="85"/>
      <c r="AN73" s="85"/>
      <c r="AO73" s="85"/>
      <c r="AP73" s="85"/>
      <c r="AQ73" s="85"/>
    </row>
    <row r="74" customFormat="false" ht="15.95" hidden="false" customHeight="true" outlineLevel="0" collapsed="false">
      <c r="A74" s="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131"/>
      <c r="AJ74" s="85"/>
      <c r="AK74" s="131"/>
      <c r="AL74" s="85"/>
      <c r="AM74" s="85"/>
      <c r="AN74" s="85"/>
      <c r="AO74" s="85"/>
      <c r="AP74" s="85"/>
      <c r="AQ74" s="85"/>
    </row>
    <row r="75" customFormat="false" ht="15.95" hidden="false" customHeight="true" outlineLevel="0" collapsed="false">
      <c r="A75" s="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131"/>
      <c r="AJ75" s="85"/>
      <c r="AK75" s="131"/>
      <c r="AL75" s="85"/>
      <c r="AM75" s="85"/>
      <c r="AN75" s="85"/>
      <c r="AO75" s="85"/>
      <c r="AP75" s="85"/>
      <c r="AQ75" s="85"/>
    </row>
    <row r="76" customFormat="false" ht="15.95" hidden="false" customHeight="true" outlineLevel="0" collapsed="false">
      <c r="A76" s="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131"/>
      <c r="AJ76" s="85"/>
      <c r="AK76" s="131"/>
      <c r="AL76" s="85"/>
      <c r="AM76" s="85"/>
      <c r="AN76" s="85"/>
      <c r="AO76" s="85"/>
      <c r="AP76" s="85"/>
      <c r="AQ76" s="85"/>
    </row>
    <row r="77" customFormat="false" ht="15.95" hidden="false" customHeight="true" outlineLevel="0" collapsed="false">
      <c r="A77" s="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131"/>
      <c r="AJ77" s="85"/>
      <c r="AK77" s="131"/>
      <c r="AL77" s="85"/>
      <c r="AM77" s="85"/>
      <c r="AN77" s="85"/>
      <c r="AO77" s="85"/>
      <c r="AP77" s="85"/>
      <c r="AQ77" s="85"/>
    </row>
    <row r="78" customFormat="false" ht="15.95" hidden="false" customHeight="true" outlineLevel="0" collapsed="false">
      <c r="A78" s="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131"/>
      <c r="AJ78" s="85"/>
      <c r="AK78" s="131"/>
      <c r="AL78" s="85"/>
      <c r="AM78" s="85"/>
      <c r="AN78" s="85"/>
      <c r="AO78" s="85"/>
      <c r="AP78" s="85"/>
      <c r="AQ78" s="85"/>
    </row>
    <row r="79" customFormat="false" ht="15.95" hidden="false" customHeight="true" outlineLevel="0" collapsed="false">
      <c r="A79" s="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131"/>
      <c r="AJ79" s="85"/>
      <c r="AK79" s="131"/>
      <c r="AL79" s="85"/>
      <c r="AM79" s="85"/>
      <c r="AN79" s="85"/>
      <c r="AO79" s="85"/>
      <c r="AP79" s="85"/>
      <c r="AQ79" s="85"/>
    </row>
    <row r="80" customFormat="false" ht="15.95" hidden="false" customHeight="true" outlineLevel="0" collapsed="false">
      <c r="A80" s="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131"/>
      <c r="AJ80" s="85"/>
      <c r="AK80" s="131"/>
      <c r="AL80" s="85"/>
      <c r="AM80" s="85"/>
      <c r="AN80" s="85"/>
      <c r="AO80" s="85"/>
      <c r="AP80" s="85"/>
      <c r="AQ80" s="85"/>
    </row>
    <row r="81" customFormat="false" ht="15.95" hidden="false" customHeight="true" outlineLevel="0" collapsed="false">
      <c r="A81" s="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131"/>
      <c r="AJ81" s="85"/>
      <c r="AK81" s="131"/>
      <c r="AL81" s="85"/>
      <c r="AM81" s="85"/>
      <c r="AN81" s="85"/>
      <c r="AO81" s="85"/>
      <c r="AP81" s="85"/>
      <c r="AQ81" s="85"/>
    </row>
    <row r="82" customFormat="false" ht="15.95" hidden="false" customHeight="true" outlineLevel="0" collapsed="false">
      <c r="A82" s="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131"/>
      <c r="AJ82" s="85"/>
      <c r="AK82" s="131"/>
      <c r="AL82" s="85"/>
      <c r="AM82" s="85"/>
      <c r="AN82" s="85"/>
      <c r="AO82" s="85"/>
      <c r="AP82" s="85"/>
    </row>
    <row r="83" customFormat="false" ht="15.95" hidden="false" customHeight="true" outlineLevel="0" collapsed="false"/>
    <row r="84" customFormat="false" ht="15.95" hidden="false" customHeight="true" outlineLevel="0" collapsed="false"/>
    <row r="85" customFormat="false" ht="15.95" hidden="false" customHeight="true" outlineLevel="0" collapsed="false"/>
    <row r="86" customFormat="false" ht="15.95" hidden="false" customHeight="true" outlineLevel="0" collapsed="false"/>
    <row r="87" s="1" customFormat="true" ht="15.95" hidden="false" customHeight="true" outlineLevel="0" collapsed="false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3"/>
      <c r="AJ87" s="2"/>
      <c r="AK87" s="3"/>
      <c r="AL87" s="2"/>
      <c r="AM87" s="2"/>
      <c r="AN87" s="2"/>
      <c r="AO87" s="2"/>
      <c r="AP87" s="2"/>
      <c r="AQ87" s="2"/>
      <c r="AR87" s="2"/>
    </row>
    <row r="88" s="1" customFormat="true" ht="15.95" hidden="false" customHeight="true" outlineLevel="0" collapsed="false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3"/>
      <c r="AJ88" s="2"/>
      <c r="AK88" s="3"/>
      <c r="AL88" s="2"/>
      <c r="AM88" s="2"/>
      <c r="AN88" s="2"/>
      <c r="AO88" s="2"/>
      <c r="AP88" s="2"/>
      <c r="AQ88" s="2"/>
      <c r="AR88" s="2"/>
    </row>
    <row r="89" s="1" customFormat="true" ht="15.95" hidden="false" customHeight="true" outlineLevel="0" collapsed="false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3"/>
      <c r="AJ89" s="2"/>
      <c r="AK89" s="3"/>
      <c r="AL89" s="2"/>
      <c r="AM89" s="2"/>
      <c r="AN89" s="2"/>
      <c r="AO89" s="2"/>
      <c r="AP89" s="2"/>
      <c r="AQ89" s="2"/>
      <c r="AR89" s="2"/>
    </row>
  </sheetData>
  <mergeCells count="75">
    <mergeCell ref="B2:C2"/>
    <mergeCell ref="B3:C3"/>
    <mergeCell ref="C6:G6"/>
    <mergeCell ref="C7:F7"/>
    <mergeCell ref="I7:I8"/>
    <mergeCell ref="J7:K7"/>
    <mergeCell ref="L7:M7"/>
    <mergeCell ref="N7:O7"/>
    <mergeCell ref="P7:Q7"/>
    <mergeCell ref="R7:T7"/>
    <mergeCell ref="U7:W7"/>
    <mergeCell ref="X7:X8"/>
    <mergeCell ref="Y7:Y8"/>
    <mergeCell ref="Z7:Z8"/>
    <mergeCell ref="AA7:AA8"/>
    <mergeCell ref="AB7:AD8"/>
    <mergeCell ref="AE7:AE8"/>
    <mergeCell ref="D8:F8"/>
    <mergeCell ref="C9:C15"/>
    <mergeCell ref="AB9:AD9"/>
    <mergeCell ref="AB13:AD13"/>
    <mergeCell ref="D16:G16"/>
    <mergeCell ref="D18:G18"/>
    <mergeCell ref="D19:F19"/>
    <mergeCell ref="AB25:AD25"/>
    <mergeCell ref="AB26:AD26"/>
    <mergeCell ref="AB27:AD27"/>
    <mergeCell ref="AB28:AD28"/>
    <mergeCell ref="AB29:AD29"/>
    <mergeCell ref="AB30:AD30"/>
    <mergeCell ref="E31:F31"/>
    <mergeCell ref="AB31:AD31"/>
    <mergeCell ref="E32:F32"/>
    <mergeCell ref="AB32:AD32"/>
    <mergeCell ref="AB33:AD33"/>
    <mergeCell ref="AB34:AD34"/>
    <mergeCell ref="AB35:AD35"/>
    <mergeCell ref="AB36:AD36"/>
    <mergeCell ref="AB37:AD38"/>
    <mergeCell ref="C41:D41"/>
    <mergeCell ref="E41:F41"/>
    <mergeCell ref="G41:H41"/>
    <mergeCell ref="I41:J41"/>
    <mergeCell ref="N41:P41"/>
    <mergeCell ref="U41:V41"/>
    <mergeCell ref="X41:Y41"/>
    <mergeCell ref="B46:F46"/>
    <mergeCell ref="B47:B48"/>
    <mergeCell ref="C47:C48"/>
    <mergeCell ref="D47:D48"/>
    <mergeCell ref="E47:E48"/>
    <mergeCell ref="F47:G47"/>
    <mergeCell ref="H47:I48"/>
    <mergeCell ref="J47:O47"/>
    <mergeCell ref="P47:Q47"/>
    <mergeCell ref="Y47:Z48"/>
    <mergeCell ref="AA47:AA48"/>
    <mergeCell ref="AB47:AC48"/>
    <mergeCell ref="AD47:AD48"/>
    <mergeCell ref="F48:G48"/>
    <mergeCell ref="J48:O48"/>
    <mergeCell ref="P48:Q48"/>
    <mergeCell ref="S48:T48"/>
    <mergeCell ref="U48:V48"/>
    <mergeCell ref="J49:O49"/>
    <mergeCell ref="J50:O50"/>
    <mergeCell ref="J51:O51"/>
    <mergeCell ref="J52:O52"/>
    <mergeCell ref="J53:O53"/>
    <mergeCell ref="J54:O54"/>
    <mergeCell ref="J55:O55"/>
    <mergeCell ref="J56:O56"/>
    <mergeCell ref="J57:O57"/>
    <mergeCell ref="J58:O58"/>
    <mergeCell ref="J59:O59"/>
  </mergeCells>
  <printOptions headings="false" gridLines="false" gridLinesSet="true" horizontalCentered="true" verticalCentered="false"/>
  <pageMargins left="0.747916666666667" right="0.747916666666667" top="0.590277777777778" bottom="0.590277777777778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AT89"/>
  <sheetViews>
    <sheetView showFormulas="false" showGridLines="false" showRowColHeaders="true" showZeros="true" rightToLeft="false" tabSelected="false" showOutlineSymbols="true" defaultGridColor="true" view="pageBreakPreview" topLeftCell="C1" colorId="64" zoomScale="100" zoomScaleNormal="130" zoomScalePageLayoutView="100" workbookViewId="0">
      <selection pane="topLeft" activeCell="I46" activeCellId="0" sqref="I46"/>
    </sheetView>
  </sheetViews>
  <sheetFormatPr defaultColWidth="8.8828125" defaultRowHeight="13.5" zeroHeight="false" outlineLevelRow="0" outlineLevelCol="0"/>
  <cols>
    <col collapsed="false" customWidth="true" hidden="false" outlineLevel="0" max="1" min="1" style="1" width="3.77"/>
    <col collapsed="false" customWidth="true" hidden="false" outlineLevel="0" max="5" min="2" style="2" width="12.11"/>
    <col collapsed="false" customWidth="true" hidden="false" outlineLevel="0" max="6" min="6" style="2" width="13.77"/>
    <col collapsed="false" customWidth="true" hidden="false" outlineLevel="0" max="7" min="7" style="2" width="15.55"/>
    <col collapsed="false" customWidth="true" hidden="false" outlineLevel="0" max="9" min="8" style="2" width="12.11"/>
    <col collapsed="false" customWidth="true" hidden="false" outlineLevel="0" max="17" min="10" style="2" width="13.11"/>
    <col collapsed="false" customWidth="true" hidden="true" outlineLevel="0" max="27" min="18" style="2" width="12.11"/>
    <col collapsed="false" customWidth="true" hidden="false" outlineLevel="0" max="28" min="28" style="2" width="12.44"/>
    <col collapsed="false" customWidth="true" hidden="false" outlineLevel="0" max="29" min="29" style="2" width="8.44"/>
    <col collapsed="false" customWidth="true" hidden="false" outlineLevel="0" max="30" min="30" style="2" width="6.32"/>
    <col collapsed="false" customWidth="true" hidden="false" outlineLevel="0" max="31" min="31" style="2" width="3.33"/>
    <col collapsed="false" customWidth="true" hidden="false" outlineLevel="0" max="32" min="32" style="2" width="8.99"/>
    <col collapsed="false" customWidth="true" hidden="false" outlineLevel="0" max="33" min="33" style="2" width="7.88"/>
    <col collapsed="false" customWidth="true" hidden="false" outlineLevel="0" max="34" min="34" style="2" width="8.99"/>
    <col collapsed="false" customWidth="true" hidden="false" outlineLevel="0" max="35" min="35" style="3" width="7.88"/>
    <col collapsed="false" customWidth="true" hidden="false" outlineLevel="0" max="36" min="36" style="2" width="8.99"/>
    <col collapsed="false" customWidth="true" hidden="false" outlineLevel="0" max="37" min="37" style="3" width="6.1"/>
    <col collapsed="false" customWidth="true" hidden="false" outlineLevel="0" max="38" min="38" style="2" width="8.99"/>
    <col collapsed="false" customWidth="true" hidden="false" outlineLevel="0" max="41" min="39" style="2" width="5.21"/>
    <col collapsed="false" customWidth="true" hidden="false" outlineLevel="0" max="42" min="42" style="2" width="11.11"/>
    <col collapsed="false" customWidth="true" hidden="false" outlineLevel="0" max="43" min="43" style="2" width="2.32"/>
    <col collapsed="false" customWidth="true" hidden="false" outlineLevel="0" max="56" min="44" style="2" width="9.77"/>
    <col collapsed="false" customWidth="false" hidden="false" outlineLevel="0" max="257" min="57" style="2" width="8.88"/>
  </cols>
  <sheetData>
    <row r="1" customFormat="false" ht="24" hidden="false" customHeight="true" outlineLevel="0" collapsed="false">
      <c r="D1" s="3" t="s">
        <v>0</v>
      </c>
      <c r="E1" s="3" t="s">
        <v>1</v>
      </c>
    </row>
    <row r="2" customFormat="false" ht="24" hidden="false" customHeight="true" outlineLevel="0" collapsed="false">
      <c r="B2" s="4" t="s">
        <v>2</v>
      </c>
      <c r="C2" s="4"/>
      <c r="D2" s="2">
        <f aca="false">+E15*F24</f>
      </c>
      <c r="E2" s="2">
        <f aca="false">+D2*0.3025</f>
      </c>
      <c r="I2" s="2"/>
      <c r="U2" s="2"/>
    </row>
    <row r="3" customFormat="false" ht="24" hidden="false" customHeight="true" outlineLevel="0" collapsed="false">
      <c r="B3" s="4" t="s">
        <v>3</v>
      </c>
      <c r="C3" s="4"/>
      <c r="D3" s="2">
        <f aca="false">+E15*F25</f>
      </c>
      <c r="E3" s="2">
        <f aca="false">+D3*0.3025</f>
      </c>
      <c r="F3" s="2">
        <f aca="false">+D3*0.015</f>
      </c>
      <c r="G3" s="2">
        <f aca="false">+F3/12</f>
      </c>
      <c r="I3" s="2">
        <f aca="false">+D3/D2</f>
      </c>
      <c r="N3" s="2">
        <f aca="false">+E15/2</f>
      </c>
      <c r="P3" s="2">
        <f aca="false">+N3*0.6</f>
      </c>
      <c r="R3" s="2"/>
      <c r="S3" s="2">
        <f aca="false">+R3*0.3025</f>
      </c>
    </row>
    <row r="4" customFormat="false" ht="24" hidden="false" customHeight="true" outlineLevel="0" collapsed="false">
      <c r="D4" s="2">
        <f aca="false">+P29</f>
      </c>
      <c r="E4" s="2">
        <f aca="false">+D3-D4</f>
      </c>
      <c r="T4" s="2"/>
      <c r="U4" s="2"/>
      <c r="V4" s="2"/>
      <c r="W4" s="2">
        <f aca="false">+T4+U4</f>
      </c>
      <c r="X4" s="2">
        <f aca="false">+W4-V4</f>
      </c>
    </row>
    <row r="5" customFormat="false" ht="24" hidden="false" customHeight="true" outlineLevel="0" collapsed="false">
      <c r="A5" s="5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8" t="s">
        <v>4</v>
      </c>
      <c r="AE5" s="8"/>
      <c r="AF5" s="7"/>
      <c r="AG5" s="7"/>
      <c r="AH5" s="7"/>
      <c r="AI5" s="9"/>
      <c r="AJ5" s="7"/>
      <c r="AK5" s="9"/>
      <c r="AL5" s="85"/>
      <c r="AM5" s="85"/>
      <c r="AN5" s="85"/>
      <c r="AO5" s="85"/>
      <c r="AP5" s="85"/>
      <c r="AQ5" s="11"/>
      <c r="AR5" s="11"/>
    </row>
    <row r="6" customFormat="false" ht="24" hidden="false" customHeight="true" outlineLevel="0" collapsed="false">
      <c r="A6" s="12"/>
      <c r="B6" s="13" t="s">
        <v>5</v>
      </c>
      <c r="C6" s="14" t="s">
        <v>6</v>
      </c>
      <c r="D6" s="14"/>
      <c r="E6" s="14"/>
      <c r="F6" s="14"/>
      <c r="G6" s="14"/>
      <c r="H6" s="13"/>
      <c r="I6" s="13" t="s">
        <v>7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7"/>
      <c r="AB6" s="16"/>
      <c r="AC6" s="17"/>
      <c r="AD6" s="17" t="s">
        <v>8</v>
      </c>
      <c r="AE6" s="17"/>
      <c r="AF6" s="85"/>
      <c r="AG6" s="85"/>
      <c r="AH6" s="85"/>
      <c r="AI6" s="131"/>
      <c r="AJ6" s="85"/>
      <c r="AK6" s="131"/>
      <c r="AL6" s="19"/>
      <c r="AM6" s="19"/>
      <c r="AN6" s="19"/>
      <c r="AO6" s="19"/>
      <c r="AP6" s="20"/>
      <c r="AQ6" s="20"/>
      <c r="AR6" s="20"/>
    </row>
    <row r="7" customFormat="false" ht="24" hidden="false" customHeight="true" outlineLevel="0" collapsed="false">
      <c r="A7" s="12"/>
      <c r="B7" s="21" t="s">
        <v>9</v>
      </c>
      <c r="C7" s="22" t="s">
        <v>10</v>
      </c>
      <c r="D7" s="22"/>
      <c r="E7" s="22"/>
      <c r="F7" s="22"/>
      <c r="G7" s="23"/>
      <c r="H7" s="16"/>
      <c r="I7" s="24"/>
      <c r="J7" s="25" t="s">
        <v>11</v>
      </c>
      <c r="K7" s="25"/>
      <c r="L7" s="25" t="s">
        <v>12</v>
      </c>
      <c r="M7" s="25"/>
      <c r="N7" s="26" t="s">
        <v>13</v>
      </c>
      <c r="O7" s="26"/>
      <c r="P7" s="27" t="s">
        <v>14</v>
      </c>
      <c r="Q7" s="27"/>
      <c r="R7" s="28" t="s">
        <v>11</v>
      </c>
      <c r="S7" s="28"/>
      <c r="T7" s="28"/>
      <c r="U7" s="29" t="s">
        <v>15</v>
      </c>
      <c r="V7" s="29"/>
      <c r="W7" s="29"/>
      <c r="X7" s="30" t="s">
        <v>16</v>
      </c>
      <c r="Y7" s="31" t="s">
        <v>17</v>
      </c>
      <c r="Z7" s="32" t="s">
        <v>18</v>
      </c>
      <c r="AA7" s="33" t="s">
        <v>19</v>
      </c>
      <c r="AB7" s="34" t="s">
        <v>20</v>
      </c>
      <c r="AC7" s="34"/>
      <c r="AD7" s="34"/>
      <c r="AE7" s="35"/>
      <c r="AF7" s="85"/>
      <c r="AG7" s="85"/>
      <c r="AH7" s="85"/>
      <c r="AI7" s="131"/>
      <c r="AJ7" s="85"/>
      <c r="AK7" s="131"/>
      <c r="AL7" s="36"/>
      <c r="AM7" s="36"/>
      <c r="AN7" s="36"/>
      <c r="AO7" s="36"/>
      <c r="AP7" s="20"/>
      <c r="AQ7" s="20"/>
      <c r="AR7" s="20"/>
    </row>
    <row r="8" customFormat="false" ht="24" hidden="false" customHeight="true" outlineLevel="0" collapsed="false">
      <c r="A8" s="37"/>
      <c r="B8" s="38" t="s">
        <v>21</v>
      </c>
      <c r="C8" s="39" t="s">
        <v>22</v>
      </c>
      <c r="D8" s="40" t="s">
        <v>92</v>
      </c>
      <c r="E8" s="40"/>
      <c r="F8" s="40"/>
      <c r="G8" s="41"/>
      <c r="H8" s="16"/>
      <c r="I8" s="24"/>
      <c r="J8" s="42" t="s">
        <v>23</v>
      </c>
      <c r="K8" s="43" t="s">
        <v>24</v>
      </c>
      <c r="L8" s="42" t="s">
        <v>23</v>
      </c>
      <c r="M8" s="43" t="s">
        <v>24</v>
      </c>
      <c r="N8" s="44" t="s">
        <v>23</v>
      </c>
      <c r="O8" s="44" t="s">
        <v>24</v>
      </c>
      <c r="P8" s="44" t="s">
        <v>23</v>
      </c>
      <c r="Q8" s="45" t="s">
        <v>24</v>
      </c>
      <c r="R8" s="46" t="s">
        <v>25</v>
      </c>
      <c r="S8" s="47" t="s">
        <v>13</v>
      </c>
      <c r="T8" s="48" t="s">
        <v>14</v>
      </c>
      <c r="U8" s="49" t="s">
        <v>25</v>
      </c>
      <c r="V8" s="47" t="s">
        <v>13</v>
      </c>
      <c r="W8" s="50" t="s">
        <v>14</v>
      </c>
      <c r="X8" s="30"/>
      <c r="Y8" s="31"/>
      <c r="Z8" s="32"/>
      <c r="AA8" s="33"/>
      <c r="AB8" s="34"/>
      <c r="AC8" s="34"/>
      <c r="AD8" s="34"/>
      <c r="AE8" s="35"/>
      <c r="AF8" s="85"/>
      <c r="AG8" s="85"/>
      <c r="AH8" s="85"/>
      <c r="AI8" s="131"/>
      <c r="AJ8" s="85"/>
      <c r="AK8" s="131"/>
      <c r="AL8" s="36"/>
      <c r="AM8" s="36"/>
      <c r="AN8" s="36"/>
      <c r="AO8" s="36"/>
      <c r="AP8" s="20"/>
      <c r="AQ8" s="20"/>
      <c r="AR8" s="20"/>
    </row>
    <row r="9" customFormat="false" ht="24" hidden="true" customHeight="true" outlineLevel="0" collapsed="false">
      <c r="A9" s="12"/>
      <c r="B9" s="259"/>
      <c r="C9" s="52" t="s">
        <v>26</v>
      </c>
      <c r="D9" s="82">
        <f aca="false">+토지내역!B3</f>
      </c>
      <c r="E9" s="54">
        <f aca="false">+토지내역!C3</f>
      </c>
      <c r="F9" s="55">
        <f aca="false">E9*0.3025</f>
      </c>
      <c r="G9" s="56"/>
      <c r="H9" s="16"/>
      <c r="I9" s="57"/>
      <c r="J9" s="58"/>
      <c r="K9" s="59"/>
      <c r="L9" s="58"/>
      <c r="M9" s="59"/>
      <c r="N9" s="59"/>
      <c r="O9" s="60"/>
      <c r="P9" s="61"/>
      <c r="Q9" s="62"/>
      <c r="R9" s="63"/>
      <c r="S9" s="64"/>
      <c r="T9" s="65"/>
      <c r="U9" s="66"/>
      <c r="V9" s="67"/>
      <c r="W9" s="68"/>
      <c r="X9" s="66"/>
      <c r="Y9" s="67"/>
      <c r="Z9" s="68"/>
      <c r="AA9" s="69"/>
      <c r="AB9" s="432"/>
      <c r="AC9" s="432"/>
      <c r="AD9" s="432"/>
      <c r="AE9" s="71"/>
      <c r="AF9" s="85"/>
      <c r="AG9" s="85"/>
      <c r="AH9" s="85"/>
      <c r="AI9" s="131"/>
      <c r="AJ9" s="85"/>
      <c r="AK9" s="131"/>
      <c r="AL9" s="36"/>
      <c r="AM9" s="36"/>
      <c r="AN9" s="36"/>
      <c r="AO9" s="36"/>
      <c r="AP9" s="72"/>
      <c r="AQ9" s="73"/>
      <c r="AR9" s="73"/>
    </row>
    <row r="10" customFormat="false" ht="24" hidden="true" customHeight="true" outlineLevel="0" collapsed="false">
      <c r="A10" s="12"/>
      <c r="B10" s="259"/>
      <c r="C10" s="52"/>
      <c r="D10" s="82">
        <f aca="false">+토지내역!B4</f>
      </c>
      <c r="E10" s="54">
        <f aca="false">+토지내역!C4</f>
      </c>
      <c r="F10" s="55">
        <f aca="false">E10*0.3025</f>
      </c>
      <c r="G10" s="56"/>
      <c r="H10" s="16"/>
      <c r="I10" s="57"/>
      <c r="J10" s="74"/>
      <c r="K10" s="75"/>
      <c r="L10" s="74"/>
      <c r="M10" s="75"/>
      <c r="N10" s="75"/>
      <c r="O10" s="60"/>
      <c r="P10" s="61"/>
      <c r="Q10" s="62"/>
      <c r="R10" s="59"/>
      <c r="S10" s="64"/>
      <c r="T10" s="76"/>
      <c r="U10" s="74"/>
      <c r="V10" s="77"/>
      <c r="W10" s="78"/>
      <c r="X10" s="58"/>
      <c r="Y10" s="64"/>
      <c r="Z10" s="79"/>
      <c r="AA10" s="80"/>
      <c r="AB10" s="81"/>
      <c r="AC10" s="81"/>
      <c r="AD10" s="81"/>
      <c r="AE10" s="71"/>
      <c r="AF10" s="85"/>
      <c r="AG10" s="85"/>
      <c r="AH10" s="85"/>
      <c r="AI10" s="131"/>
      <c r="AJ10" s="85"/>
      <c r="AK10" s="131"/>
      <c r="AL10" s="36"/>
      <c r="AM10" s="36"/>
      <c r="AN10" s="36"/>
      <c r="AO10" s="36"/>
      <c r="AP10" s="72"/>
      <c r="AQ10" s="73"/>
      <c r="AR10" s="73"/>
    </row>
    <row r="11" customFormat="false" ht="24" hidden="true" customHeight="true" outlineLevel="0" collapsed="false">
      <c r="A11" s="12"/>
      <c r="B11" s="259"/>
      <c r="C11" s="52"/>
      <c r="D11" s="82">
        <f aca="false">+토지내역!B5</f>
      </c>
      <c r="E11" s="54">
        <f aca="false">+토지내역!C5</f>
      </c>
      <c r="F11" s="55">
        <f aca="false">E11*0.3025</f>
      </c>
      <c r="G11" s="56"/>
      <c r="H11" s="16"/>
      <c r="I11" s="57"/>
      <c r="J11" s="74"/>
      <c r="K11" s="75"/>
      <c r="L11" s="74"/>
      <c r="M11" s="75"/>
      <c r="N11" s="75"/>
      <c r="O11" s="60"/>
      <c r="P11" s="61"/>
      <c r="Q11" s="62"/>
      <c r="R11" s="59"/>
      <c r="S11" s="64"/>
      <c r="T11" s="76"/>
      <c r="U11" s="74"/>
      <c r="V11" s="77"/>
      <c r="W11" s="78"/>
      <c r="X11" s="58"/>
      <c r="Y11" s="64"/>
      <c r="Z11" s="79"/>
      <c r="AA11" s="80"/>
      <c r="AB11" s="81"/>
      <c r="AC11" s="81"/>
      <c r="AD11" s="81"/>
      <c r="AE11" s="71"/>
      <c r="AF11" s="85"/>
      <c r="AG11" s="85"/>
      <c r="AH11" s="85"/>
      <c r="AI11" s="131"/>
      <c r="AJ11" s="85"/>
      <c r="AK11" s="131"/>
      <c r="AL11" s="36"/>
      <c r="AM11" s="36"/>
      <c r="AN11" s="36"/>
      <c r="AO11" s="36"/>
      <c r="AP11" s="72"/>
      <c r="AQ11" s="73"/>
      <c r="AR11" s="73"/>
    </row>
    <row r="12" customFormat="false" ht="24" hidden="true" customHeight="true" outlineLevel="0" collapsed="false">
      <c r="A12" s="12"/>
      <c r="B12" s="259"/>
      <c r="C12" s="52"/>
      <c r="D12" s="82">
        <f aca="false">+토지내역!B6</f>
      </c>
      <c r="E12" s="54">
        <f aca="false">+토지내역!C6</f>
      </c>
      <c r="F12" s="55">
        <f aca="false">E12*0.3025</f>
      </c>
      <c r="G12" s="56"/>
      <c r="H12" s="16"/>
      <c r="I12" s="57"/>
      <c r="J12" s="74"/>
      <c r="K12" s="75"/>
      <c r="L12" s="74"/>
      <c r="M12" s="75"/>
      <c r="N12" s="75"/>
      <c r="O12" s="60"/>
      <c r="P12" s="61"/>
      <c r="Q12" s="62"/>
      <c r="R12" s="59"/>
      <c r="S12" s="64"/>
      <c r="T12" s="76"/>
      <c r="U12" s="74"/>
      <c r="V12" s="77"/>
      <c r="W12" s="78"/>
      <c r="X12" s="58"/>
      <c r="Y12" s="64"/>
      <c r="Z12" s="79"/>
      <c r="AA12" s="80"/>
      <c r="AB12" s="81"/>
      <c r="AC12" s="81"/>
      <c r="AD12" s="81"/>
      <c r="AE12" s="71"/>
      <c r="AF12" s="85"/>
      <c r="AG12" s="85"/>
      <c r="AH12" s="85"/>
      <c r="AI12" s="131"/>
      <c r="AJ12" s="85"/>
      <c r="AK12" s="131"/>
      <c r="AL12" s="36"/>
      <c r="AM12" s="36"/>
      <c r="AN12" s="36"/>
      <c r="AO12" s="36"/>
      <c r="AP12" s="72"/>
      <c r="AQ12" s="73"/>
      <c r="AR12" s="73"/>
    </row>
    <row r="13" customFormat="false" ht="24" hidden="true" customHeight="true" outlineLevel="0" collapsed="false">
      <c r="A13" s="12"/>
      <c r="B13" s="259"/>
      <c r="C13" s="52"/>
      <c r="D13" s="82" t="s">
        <v>27</v>
      </c>
      <c r="E13" s="54">
        <f aca="false">+토지내역!C28</f>
      </c>
      <c r="F13" s="55">
        <f aca="false">E13*0.3025</f>
      </c>
      <c r="G13" s="56"/>
      <c r="H13" s="16"/>
      <c r="I13" s="57"/>
      <c r="J13" s="74"/>
      <c r="K13" s="75"/>
      <c r="L13" s="74"/>
      <c r="M13" s="75"/>
      <c r="N13" s="75"/>
      <c r="O13" s="60"/>
      <c r="P13" s="61"/>
      <c r="Q13" s="62"/>
      <c r="R13" s="75"/>
      <c r="S13" s="77"/>
      <c r="T13" s="76"/>
      <c r="U13" s="74"/>
      <c r="V13" s="77"/>
      <c r="W13" s="78"/>
      <c r="X13" s="58"/>
      <c r="Y13" s="64"/>
      <c r="Z13" s="79"/>
      <c r="AA13" s="80"/>
      <c r="AB13" s="83"/>
      <c r="AC13" s="83"/>
      <c r="AD13" s="83"/>
      <c r="AE13" s="84"/>
      <c r="AF13" s="85"/>
      <c r="AG13" s="85"/>
      <c r="AH13" s="85"/>
      <c r="AI13" s="131"/>
      <c r="AJ13" s="85"/>
      <c r="AK13" s="131"/>
      <c r="AL13" s="36"/>
      <c r="AM13" s="36"/>
      <c r="AN13" s="36"/>
      <c r="AO13" s="36"/>
      <c r="AP13" s="20"/>
      <c r="AQ13" s="86"/>
      <c r="AR13" s="86"/>
    </row>
    <row r="14" customFormat="false" ht="24" hidden="true" customHeight="true" outlineLevel="0" collapsed="false">
      <c r="A14" s="12"/>
      <c r="B14" s="259"/>
      <c r="C14" s="52"/>
      <c r="D14" s="82" t="s">
        <v>27</v>
      </c>
      <c r="E14" s="54">
        <f aca="false">+토지내역!C26</f>
      </c>
      <c r="F14" s="55">
        <f aca="false">E14*0.3025</f>
      </c>
      <c r="G14" s="56"/>
      <c r="H14" s="16"/>
      <c r="I14" s="57"/>
      <c r="J14" s="87"/>
      <c r="K14" s="88"/>
      <c r="L14" s="87"/>
      <c r="M14" s="88"/>
      <c r="N14" s="88"/>
      <c r="O14" s="89"/>
      <c r="P14" s="90"/>
      <c r="Q14" s="91"/>
      <c r="R14" s="75"/>
      <c r="S14" s="77"/>
      <c r="T14" s="92"/>
      <c r="U14" s="74"/>
      <c r="V14" s="93"/>
      <c r="W14" s="94"/>
      <c r="X14" s="74"/>
      <c r="Y14" s="77"/>
      <c r="Z14" s="78"/>
      <c r="AA14" s="95"/>
      <c r="AB14" s="96"/>
      <c r="AC14" s="97"/>
      <c r="AD14" s="97"/>
      <c r="AE14" s="71"/>
      <c r="AF14" s="85"/>
      <c r="AG14" s="85"/>
      <c r="AH14" s="85"/>
      <c r="AI14" s="131"/>
      <c r="AJ14" s="85"/>
      <c r="AK14" s="131"/>
      <c r="AL14" s="98"/>
      <c r="AM14" s="98"/>
      <c r="AN14" s="98"/>
      <c r="AO14" s="98"/>
      <c r="AP14" s="99"/>
      <c r="AQ14" s="85"/>
    </row>
    <row r="15" customFormat="false" ht="24" hidden="true" customHeight="true" outlineLevel="0" collapsed="false">
      <c r="A15" s="12"/>
      <c r="B15" s="259"/>
      <c r="C15" s="52"/>
      <c r="D15" s="82" t="s">
        <v>19</v>
      </c>
      <c r="E15" s="54">
        <f aca="false">+E9+E10-E13-E14</f>
      </c>
      <c r="F15" s="55">
        <f aca="false">E15*0.3025</f>
      </c>
      <c r="G15" s="56"/>
      <c r="H15" s="16"/>
      <c r="I15" s="57"/>
      <c r="J15" s="87"/>
      <c r="K15" s="88"/>
      <c r="L15" s="87"/>
      <c r="M15" s="88"/>
      <c r="N15" s="88"/>
      <c r="O15" s="89"/>
      <c r="P15" s="90"/>
      <c r="Q15" s="91"/>
      <c r="R15" s="75"/>
      <c r="S15" s="77"/>
      <c r="T15" s="92"/>
      <c r="U15" s="74"/>
      <c r="V15" s="93"/>
      <c r="W15" s="94"/>
      <c r="X15" s="74"/>
      <c r="Y15" s="77"/>
      <c r="Z15" s="78"/>
      <c r="AA15" s="95"/>
      <c r="AB15" s="96"/>
      <c r="AC15" s="97"/>
      <c r="AD15" s="97"/>
      <c r="AE15" s="71"/>
      <c r="AF15" s="85"/>
      <c r="AG15" s="85"/>
      <c r="AH15" s="85"/>
      <c r="AI15" s="131"/>
      <c r="AJ15" s="85"/>
      <c r="AK15" s="131"/>
      <c r="AL15" s="98"/>
      <c r="AM15" s="98"/>
      <c r="AN15" s="98"/>
      <c r="AO15" s="98"/>
      <c r="AP15" s="99"/>
      <c r="AQ15" s="85"/>
    </row>
    <row r="16" customFormat="false" ht="24" hidden="true" customHeight="true" outlineLevel="0" collapsed="false">
      <c r="A16" s="12"/>
      <c r="B16" s="259"/>
      <c r="C16" s="100" t="s">
        <v>29</v>
      </c>
      <c r="D16" s="101" t="str">
        <f aca="false">+Sheet1!E4</f>
      </c>
      <c r="E16" s="101"/>
      <c r="F16" s="101"/>
      <c r="G16" s="101"/>
      <c r="H16" s="16"/>
      <c r="I16" s="57"/>
      <c r="J16" s="87"/>
      <c r="K16" s="88"/>
      <c r="L16" s="87"/>
      <c r="M16" s="88"/>
      <c r="N16" s="88"/>
      <c r="O16" s="89"/>
      <c r="P16" s="90"/>
      <c r="Q16" s="91"/>
      <c r="R16" s="75"/>
      <c r="S16" s="77"/>
      <c r="T16" s="92"/>
      <c r="U16" s="74"/>
      <c r="V16" s="93"/>
      <c r="W16" s="94"/>
      <c r="X16" s="74"/>
      <c r="Y16" s="77"/>
      <c r="Z16" s="78"/>
      <c r="AA16" s="95"/>
      <c r="AB16" s="96"/>
      <c r="AC16" s="97"/>
      <c r="AD16" s="97"/>
      <c r="AE16" s="71"/>
      <c r="AF16" s="85"/>
      <c r="AG16" s="85"/>
      <c r="AH16" s="102"/>
      <c r="AI16" s="103"/>
      <c r="AJ16" s="102"/>
      <c r="AK16" s="103"/>
      <c r="AL16" s="98"/>
      <c r="AM16" s="98"/>
      <c r="AN16" s="98"/>
      <c r="AO16" s="98"/>
      <c r="AP16" s="85"/>
      <c r="AQ16" s="85"/>
    </row>
    <row r="17" customFormat="false" ht="24" hidden="true" customHeight="true" outlineLevel="0" collapsed="false">
      <c r="A17" s="12"/>
      <c r="B17" s="104"/>
      <c r="C17" s="105" t="s">
        <v>30</v>
      </c>
      <c r="D17" s="106"/>
      <c r="E17" s="107"/>
      <c r="F17" s="107"/>
      <c r="G17" s="107"/>
      <c r="H17" s="16"/>
      <c r="I17" s="57"/>
      <c r="J17" s="108"/>
      <c r="K17" s="109"/>
      <c r="L17" s="108"/>
      <c r="M17" s="109"/>
      <c r="N17" s="109"/>
      <c r="O17" s="110"/>
      <c r="P17" s="90"/>
      <c r="Q17" s="91"/>
      <c r="R17" s="75"/>
      <c r="S17" s="77"/>
      <c r="T17" s="92"/>
      <c r="U17" s="74"/>
      <c r="V17" s="93"/>
      <c r="W17" s="94"/>
      <c r="X17" s="74"/>
      <c r="Y17" s="77"/>
      <c r="Z17" s="78"/>
      <c r="AA17" s="95"/>
      <c r="AB17" s="96"/>
      <c r="AC17" s="97"/>
      <c r="AD17" s="97"/>
      <c r="AE17" s="71"/>
      <c r="AF17" s="85"/>
      <c r="AG17" s="85"/>
      <c r="AH17" s="85"/>
      <c r="AI17" s="131"/>
      <c r="AJ17" s="85"/>
      <c r="AK17" s="131"/>
      <c r="AL17" s="98"/>
      <c r="AM17" s="98"/>
      <c r="AN17" s="98"/>
      <c r="AO17" s="98"/>
      <c r="AP17" s="85"/>
      <c r="AQ17" s="85"/>
    </row>
    <row r="18" customFormat="false" ht="24" hidden="true" customHeight="true" outlineLevel="0" collapsed="false">
      <c r="A18" s="12"/>
      <c r="B18" s="38" t="s">
        <v>31</v>
      </c>
      <c r="C18" s="39" t="s">
        <v>32</v>
      </c>
      <c r="D18" s="111" t="s">
        <v>33</v>
      </c>
      <c r="E18" s="111"/>
      <c r="F18" s="111"/>
      <c r="G18" s="111"/>
      <c r="H18" s="16"/>
      <c r="I18" s="57"/>
      <c r="J18" s="87"/>
      <c r="K18" s="88"/>
      <c r="L18" s="87"/>
      <c r="M18" s="88"/>
      <c r="N18" s="88"/>
      <c r="O18" s="89"/>
      <c r="P18" s="90"/>
      <c r="Q18" s="91"/>
      <c r="R18" s="75"/>
      <c r="S18" s="77"/>
      <c r="T18" s="92"/>
      <c r="U18" s="74"/>
      <c r="V18" s="93"/>
      <c r="W18" s="94"/>
      <c r="X18" s="74"/>
      <c r="Y18" s="77"/>
      <c r="Z18" s="78"/>
      <c r="AA18" s="95"/>
      <c r="AB18" s="96"/>
      <c r="AC18" s="97"/>
      <c r="AD18" s="97"/>
      <c r="AE18" s="71"/>
      <c r="AF18" s="85"/>
      <c r="AG18" s="85"/>
      <c r="AH18" s="85"/>
      <c r="AI18" s="131"/>
      <c r="AJ18" s="112"/>
      <c r="AK18" s="113"/>
      <c r="AL18" s="98"/>
      <c r="AM18" s="98"/>
      <c r="AN18" s="98"/>
      <c r="AO18" s="98"/>
      <c r="AP18" s="85"/>
      <c r="AQ18" s="85"/>
    </row>
    <row r="19" customFormat="false" ht="24" hidden="true" customHeight="true" outlineLevel="0" collapsed="false">
      <c r="A19" s="12"/>
      <c r="B19" s="259"/>
      <c r="C19" s="100" t="s">
        <v>34</v>
      </c>
      <c r="D19" s="114" t="s">
        <v>35</v>
      </c>
      <c r="E19" s="114"/>
      <c r="F19" s="114"/>
      <c r="G19" s="115"/>
      <c r="H19" s="16"/>
      <c r="I19" s="57"/>
      <c r="J19" s="87"/>
      <c r="K19" s="88"/>
      <c r="L19" s="87"/>
      <c r="M19" s="88"/>
      <c r="N19" s="88"/>
      <c r="O19" s="89"/>
      <c r="P19" s="90"/>
      <c r="Q19" s="91"/>
      <c r="R19" s="75"/>
      <c r="S19" s="77"/>
      <c r="T19" s="92"/>
      <c r="U19" s="74"/>
      <c r="V19" s="93"/>
      <c r="W19" s="94"/>
      <c r="X19" s="74"/>
      <c r="Y19" s="77"/>
      <c r="Z19" s="78"/>
      <c r="AA19" s="95"/>
      <c r="AB19" s="96"/>
      <c r="AC19" s="97"/>
      <c r="AD19" s="97"/>
      <c r="AE19" s="71"/>
      <c r="AF19" s="85"/>
      <c r="AG19" s="85"/>
      <c r="AH19" s="116"/>
      <c r="AI19" s="117"/>
      <c r="AJ19" s="116"/>
      <c r="AK19" s="117"/>
      <c r="AL19" s="102"/>
      <c r="AM19" s="102"/>
      <c r="AN19" s="102"/>
      <c r="AO19" s="102"/>
      <c r="AP19" s="85"/>
      <c r="AQ19" s="85"/>
    </row>
    <row r="20" customFormat="false" ht="24" hidden="true" customHeight="true" outlineLevel="0" collapsed="false">
      <c r="A20" s="12"/>
      <c r="B20" s="259"/>
      <c r="C20" s="100" t="s">
        <v>36</v>
      </c>
      <c r="D20" s="118"/>
      <c r="E20" s="119">
        <f aca="false">D20*0.3025</f>
      </c>
      <c r="F20" s="120"/>
      <c r="G20" s="120"/>
      <c r="H20" s="16"/>
      <c r="I20" s="57"/>
      <c r="J20" s="87"/>
      <c r="K20" s="88"/>
      <c r="L20" s="87"/>
      <c r="M20" s="88"/>
      <c r="N20" s="88"/>
      <c r="O20" s="89"/>
      <c r="P20" s="90"/>
      <c r="Q20" s="91"/>
      <c r="R20" s="75"/>
      <c r="S20" s="77"/>
      <c r="T20" s="92"/>
      <c r="U20" s="74"/>
      <c r="V20" s="93"/>
      <c r="W20" s="94"/>
      <c r="X20" s="74"/>
      <c r="Y20" s="77"/>
      <c r="Z20" s="78"/>
      <c r="AA20" s="95"/>
      <c r="AB20" s="96"/>
      <c r="AC20" s="97"/>
      <c r="AD20" s="97"/>
      <c r="AE20" s="71"/>
      <c r="AF20" s="85"/>
      <c r="AG20" s="85"/>
      <c r="AH20" s="85"/>
      <c r="AI20" s="131"/>
      <c r="AJ20" s="85"/>
      <c r="AK20" s="131"/>
      <c r="AL20" s="85"/>
      <c r="AM20" s="85"/>
      <c r="AN20" s="85"/>
      <c r="AO20" s="85"/>
      <c r="AP20" s="85"/>
      <c r="AQ20" s="85"/>
    </row>
    <row r="21" customFormat="false" ht="24" hidden="true" customHeight="true" outlineLevel="0" collapsed="false">
      <c r="A21" s="12"/>
      <c r="B21" s="259"/>
      <c r="C21" s="121" t="s">
        <v>37</v>
      </c>
      <c r="D21" s="122" t="s">
        <v>38</v>
      </c>
      <c r="E21" s="123">
        <f aca="false">AA29</f>
      </c>
      <c r="F21" s="124">
        <f aca="false">E21*0.3025</f>
      </c>
      <c r="G21" s="125"/>
      <c r="H21" s="16"/>
      <c r="I21" s="57"/>
      <c r="J21" s="87"/>
      <c r="K21" s="88"/>
      <c r="L21" s="87"/>
      <c r="M21" s="88"/>
      <c r="N21" s="88"/>
      <c r="O21" s="89"/>
      <c r="P21" s="90"/>
      <c r="Q21" s="91"/>
      <c r="R21" s="75"/>
      <c r="S21" s="77"/>
      <c r="T21" s="92"/>
      <c r="U21" s="74"/>
      <c r="V21" s="93"/>
      <c r="W21" s="94"/>
      <c r="X21" s="74"/>
      <c r="Y21" s="77"/>
      <c r="Z21" s="78"/>
      <c r="AA21" s="95"/>
      <c r="AB21" s="96"/>
      <c r="AC21" s="97"/>
      <c r="AD21" s="97"/>
      <c r="AE21" s="71"/>
      <c r="AF21" s="85"/>
      <c r="AG21" s="85"/>
      <c r="AH21" s="85"/>
      <c r="AI21" s="131"/>
      <c r="AJ21" s="85"/>
      <c r="AK21" s="131"/>
      <c r="AL21" s="98"/>
      <c r="AM21" s="98"/>
      <c r="AN21" s="98"/>
      <c r="AO21" s="98"/>
      <c r="AP21" s="85"/>
      <c r="AQ21" s="85"/>
    </row>
    <row r="22" customFormat="false" ht="24" hidden="true" customHeight="true" outlineLevel="0" collapsed="false">
      <c r="A22" s="12"/>
      <c r="B22" s="259"/>
      <c r="C22" s="121"/>
      <c r="D22" s="122" t="s">
        <v>39</v>
      </c>
      <c r="E22" s="123">
        <f aca="false">AA36</f>
      </c>
      <c r="F22" s="124">
        <f aca="false">E22*0.3025</f>
      </c>
      <c r="G22" s="125"/>
      <c r="H22" s="16"/>
      <c r="I22" s="57"/>
      <c r="J22" s="87"/>
      <c r="K22" s="88"/>
      <c r="L22" s="87"/>
      <c r="M22" s="88"/>
      <c r="N22" s="126"/>
      <c r="O22" s="127"/>
      <c r="P22" s="90">
        <f aca="false">J22+N22</f>
      </c>
      <c r="Q22" s="91"/>
      <c r="R22" s="75"/>
      <c r="S22" s="77"/>
      <c r="T22" s="92"/>
      <c r="U22" s="74"/>
      <c r="V22" s="93"/>
      <c r="W22" s="94"/>
      <c r="X22" s="74"/>
      <c r="Y22" s="77"/>
      <c r="Z22" s="78"/>
      <c r="AA22" s="95"/>
      <c r="AB22" s="96"/>
      <c r="AC22" s="97"/>
      <c r="AD22" s="97"/>
      <c r="AE22" s="71"/>
      <c r="AF22" s="85"/>
      <c r="AG22" s="85"/>
      <c r="AH22" s="85"/>
      <c r="AI22" s="131"/>
      <c r="AJ22" s="85"/>
      <c r="AK22" s="131"/>
      <c r="AL22" s="98"/>
      <c r="AM22" s="98"/>
      <c r="AN22" s="98"/>
      <c r="AO22" s="98"/>
      <c r="AP22" s="85"/>
      <c r="AQ22" s="85"/>
    </row>
    <row r="23" customFormat="false" ht="24" hidden="true" customHeight="true" outlineLevel="0" collapsed="false">
      <c r="A23" s="12"/>
      <c r="B23" s="259"/>
      <c r="C23" s="121"/>
      <c r="D23" s="128" t="s">
        <v>19</v>
      </c>
      <c r="E23" s="129">
        <f aca="false">SUM(E21:E22)</f>
      </c>
      <c r="F23" s="124">
        <f aca="false">E23*0.3025</f>
      </c>
      <c r="G23" s="130"/>
      <c r="H23" s="16"/>
      <c r="I23" s="57"/>
      <c r="J23" s="87"/>
      <c r="K23" s="88"/>
      <c r="L23" s="87"/>
      <c r="M23" s="88"/>
      <c r="N23" s="126"/>
      <c r="O23" s="127"/>
      <c r="P23" s="90">
        <f aca="false">J23+N23</f>
      </c>
      <c r="Q23" s="91"/>
      <c r="R23" s="75"/>
      <c r="S23" s="77"/>
      <c r="T23" s="92"/>
      <c r="U23" s="74"/>
      <c r="V23" s="93"/>
      <c r="W23" s="94"/>
      <c r="X23" s="74"/>
      <c r="Y23" s="77"/>
      <c r="Z23" s="78"/>
      <c r="AA23" s="95"/>
      <c r="AB23" s="96"/>
      <c r="AC23" s="97"/>
      <c r="AD23" s="97"/>
      <c r="AE23" s="71"/>
      <c r="AF23" s="131" t="s">
        <v>40</v>
      </c>
      <c r="AG23" s="131" t="s">
        <v>25</v>
      </c>
      <c r="AH23" s="131"/>
      <c r="AI23" s="131"/>
      <c r="AJ23" s="131"/>
      <c r="AK23" s="131"/>
      <c r="AL23" s="133"/>
      <c r="AM23" s="133"/>
      <c r="AN23" s="133"/>
      <c r="AO23" s="133"/>
      <c r="AP23" s="131"/>
      <c r="AQ23" s="131"/>
      <c r="AR23" s="133" t="s">
        <v>41</v>
      </c>
    </row>
    <row r="24" customFormat="false" ht="24" hidden="true" customHeight="true" outlineLevel="0" collapsed="false">
      <c r="A24" s="12"/>
      <c r="B24" s="259"/>
      <c r="C24" s="134" t="s">
        <v>42</v>
      </c>
      <c r="D24" s="135">
        <f aca="false">D20/$E$15</f>
      </c>
      <c r="E24" s="136" t="s">
        <v>43</v>
      </c>
      <c r="F24" s="137"/>
      <c r="G24" s="138"/>
      <c r="H24" s="16"/>
      <c r="I24" s="57"/>
      <c r="J24" s="87"/>
      <c r="K24" s="88"/>
      <c r="L24" s="87"/>
      <c r="M24" s="88"/>
      <c r="N24" s="126"/>
      <c r="O24" s="127"/>
      <c r="P24" s="90">
        <f aca="false">J24+N24</f>
      </c>
      <c r="Q24" s="91"/>
      <c r="R24" s="75"/>
      <c r="S24" s="77"/>
      <c r="T24" s="92"/>
      <c r="U24" s="139"/>
      <c r="V24" s="140"/>
      <c r="W24" s="94"/>
      <c r="X24" s="141"/>
      <c r="Y24" s="142"/>
      <c r="Z24" s="143"/>
      <c r="AA24" s="144"/>
      <c r="AB24" s="96"/>
      <c r="AC24" s="97"/>
      <c r="AD24" s="97"/>
      <c r="AE24" s="71" t="s">
        <v>44</v>
      </c>
      <c r="AF24" s="85"/>
      <c r="AG24" s="85"/>
      <c r="AH24" s="85"/>
      <c r="AI24" s="131"/>
      <c r="AJ24" s="85"/>
      <c r="AK24" s="131"/>
      <c r="AL24" s="98"/>
      <c r="AM24" s="98"/>
      <c r="AN24" s="98"/>
      <c r="AO24" s="98"/>
      <c r="AP24" s="85">
        <f aca="false">SUM(AG24:AO24)</f>
      </c>
      <c r="AQ24" s="131"/>
      <c r="AR24" s="98">
        <f aca="false">+AF24-AP24</f>
      </c>
      <c r="AS24" s="2"/>
      <c r="AT24" s="2">
        <f aca="false">+AR24*AS24</f>
      </c>
    </row>
    <row r="25" customFormat="false" ht="24" hidden="false" customHeight="true" outlineLevel="0" collapsed="false">
      <c r="A25" s="5"/>
      <c r="B25" s="259"/>
      <c r="C25" s="145" t="s">
        <v>45</v>
      </c>
      <c r="D25" s="146">
        <f aca="false">(P29)/$E$15</f>
      </c>
      <c r="E25" s="147" t="s">
        <v>43</v>
      </c>
      <c r="F25" s="148"/>
      <c r="G25" s="149"/>
      <c r="H25" s="16"/>
      <c r="I25" s="57" t="s">
        <v>46</v>
      </c>
      <c r="J25" s="87"/>
      <c r="K25" s="88">
        <f aca="false">+J25*0.3025</f>
      </c>
      <c r="L25" s="87"/>
      <c r="M25" s="88">
        <f aca="false">+L25*0.3025</f>
      </c>
      <c r="N25" s="88"/>
      <c r="O25" s="88">
        <f aca="false">+N25*0.3025</f>
      </c>
      <c r="P25" s="150">
        <f aca="false">J25+N25+L25</f>
      </c>
      <c r="Q25" s="151">
        <f aca="false">+P25*0.3025</f>
      </c>
      <c r="R25" s="126"/>
      <c r="S25" s="152"/>
      <c r="T25" s="153">
        <f aca="false">R25+S25</f>
      </c>
      <c r="U25" s="139"/>
      <c r="V25" s="140"/>
      <c r="W25" s="94">
        <f aca="false">+U25+V25</f>
      </c>
      <c r="X25" s="141"/>
      <c r="Y25" s="142"/>
      <c r="Z25" s="143"/>
      <c r="AA25" s="144">
        <f aca="false">+SUM(P25,T25,W25,X25,Y25,Z25)</f>
      </c>
      <c r="AB25" s="154"/>
      <c r="AC25" s="154"/>
      <c r="AD25" s="154"/>
      <c r="AE25" s="71"/>
      <c r="AF25" s="85"/>
      <c r="AG25" s="131"/>
      <c r="AH25" s="85"/>
      <c r="AI25" s="131"/>
      <c r="AJ25" s="85"/>
      <c r="AK25" s="131"/>
      <c r="AL25" s="98"/>
      <c r="AM25" s="98"/>
      <c r="AN25" s="98"/>
      <c r="AO25" s="98"/>
      <c r="AP25" s="85"/>
      <c r="AQ25" s="131"/>
      <c r="AR25" s="98"/>
    </row>
    <row r="26" customFormat="false" ht="24" hidden="false" customHeight="true" outlineLevel="0" collapsed="false">
      <c r="A26" s="5"/>
      <c r="B26" s="38" t="s">
        <v>48</v>
      </c>
      <c r="C26" s="155" t="s">
        <v>49</v>
      </c>
      <c r="D26" s="156" t="s">
        <v>50</v>
      </c>
      <c r="E26" s="157"/>
      <c r="F26" s="158"/>
      <c r="G26" s="433"/>
      <c r="H26" s="16"/>
      <c r="I26" s="57"/>
      <c r="J26" s="87"/>
      <c r="K26" s="88">
        <f aca="false">+J26*0.3025</f>
      </c>
      <c r="L26" s="87"/>
      <c r="M26" s="88">
        <f aca="false">+L26*0.3025</f>
      </c>
      <c r="N26" s="88"/>
      <c r="O26" s="88">
        <f aca="false">+N26*0.3025</f>
      </c>
      <c r="P26" s="150">
        <f aca="false">J26+N26+L26</f>
      </c>
      <c r="Q26" s="91">
        <f aca="false">+P26*0.3025</f>
      </c>
      <c r="R26" s="126"/>
      <c r="S26" s="152"/>
      <c r="T26" s="153">
        <f aca="false">R26+S26</f>
      </c>
      <c r="U26" s="74"/>
      <c r="V26" s="93"/>
      <c r="W26" s="94">
        <f aca="false">+U26+V26</f>
      </c>
      <c r="X26" s="74"/>
      <c r="Y26" s="77"/>
      <c r="Z26" s="78"/>
      <c r="AA26" s="144">
        <f aca="false">+SUM(P26,T26,W26,X26,Y26,Z26)</f>
      </c>
      <c r="AB26" s="154" t="s">
        <v>93</v>
      </c>
      <c r="AC26" s="154"/>
      <c r="AD26" s="154"/>
      <c r="AE26" s="71"/>
      <c r="AF26" s="85"/>
      <c r="AG26" s="131"/>
      <c r="AH26" s="85"/>
      <c r="AI26" s="131"/>
      <c r="AJ26" s="85"/>
      <c r="AK26" s="131"/>
      <c r="AL26" s="160"/>
      <c r="AM26" s="160"/>
      <c r="AN26" s="160"/>
      <c r="AO26" s="160"/>
      <c r="AP26" s="85"/>
      <c r="AQ26" s="131"/>
      <c r="AR26" s="98"/>
    </row>
    <row r="27" customFormat="false" ht="24" hidden="false" customHeight="true" outlineLevel="0" collapsed="false">
      <c r="A27" s="12"/>
      <c r="B27" s="259"/>
      <c r="C27" s="161"/>
      <c r="D27" s="162" t="s">
        <v>51</v>
      </c>
      <c r="E27" s="163">
        <f aca="false">+J37+N28+N30</f>
      </c>
      <c r="F27" s="164"/>
      <c r="G27" s="165">
        <f aca="false">+E27/134</f>
      </c>
      <c r="H27" s="166"/>
      <c r="I27" s="57"/>
      <c r="J27" s="87"/>
      <c r="K27" s="88">
        <f aca="false">+J27*0.3025</f>
      </c>
      <c r="L27" s="87"/>
      <c r="M27" s="88">
        <f aca="false">+L27*0.3025</f>
      </c>
      <c r="N27" s="88"/>
      <c r="O27" s="88">
        <f aca="false">+N27*0.3025</f>
      </c>
      <c r="P27" s="150">
        <f aca="false">J27+N27+L27</f>
      </c>
      <c r="Q27" s="91">
        <f aca="false">+P27*0.3025</f>
      </c>
      <c r="R27" s="126"/>
      <c r="S27" s="152"/>
      <c r="T27" s="153">
        <f aca="false">R27+S27</f>
      </c>
      <c r="U27" s="139"/>
      <c r="V27" s="140"/>
      <c r="W27" s="167">
        <f aca="false">+U27+V27</f>
      </c>
      <c r="X27" s="74"/>
      <c r="Y27" s="77"/>
      <c r="Z27" s="78"/>
      <c r="AA27" s="144">
        <f aca="false">+SUM(P27,T27,W27,X27,Y27,Z27)</f>
      </c>
      <c r="AB27" s="154" t="s">
        <v>93</v>
      </c>
      <c r="AC27" s="154"/>
      <c r="AD27" s="154"/>
      <c r="AE27" s="71"/>
      <c r="AF27" s="85"/>
      <c r="AG27" s="131"/>
      <c r="AH27" s="85"/>
      <c r="AI27" s="131"/>
      <c r="AJ27" s="85"/>
      <c r="AK27" s="131"/>
      <c r="AL27" s="160"/>
      <c r="AM27" s="160"/>
      <c r="AN27" s="160"/>
      <c r="AO27" s="160"/>
      <c r="AP27" s="85"/>
      <c r="AQ27" s="131"/>
      <c r="AR27" s="160"/>
    </row>
    <row r="28" customFormat="false" ht="24" hidden="false" customHeight="true" outlineLevel="0" collapsed="false">
      <c r="A28" s="12"/>
      <c r="B28" s="259"/>
      <c r="C28" s="161"/>
      <c r="D28" s="168"/>
      <c r="E28" s="163"/>
      <c r="F28" s="164"/>
      <c r="G28" s="165"/>
      <c r="H28" s="166"/>
      <c r="I28" s="57"/>
      <c r="J28" s="169"/>
      <c r="K28" s="88">
        <f aca="false">+J28*0.3025</f>
      </c>
      <c r="L28" s="169"/>
      <c r="M28" s="88">
        <f aca="false">+L28*0.3025</f>
      </c>
      <c r="N28" s="88"/>
      <c r="O28" s="88">
        <f aca="false">+N28*0.3025</f>
      </c>
      <c r="P28" s="150">
        <f aca="false">J28+N28+L28</f>
      </c>
      <c r="Q28" s="91">
        <f aca="false">+P28*0.3025</f>
      </c>
      <c r="R28" s="126"/>
      <c r="S28" s="152"/>
      <c r="T28" s="153">
        <f aca="false">R28+S28</f>
      </c>
      <c r="U28" s="139"/>
      <c r="V28" s="140"/>
      <c r="W28" s="167">
        <f aca="false">+U28+V28</f>
      </c>
      <c r="X28" s="74"/>
      <c r="Y28" s="77"/>
      <c r="Z28" s="78"/>
      <c r="AA28" s="144">
        <f aca="false">+SUM(P28,T28,W28,X28,Y28,Z28)</f>
      </c>
      <c r="AB28" s="431" t="s">
        <v>11</v>
      </c>
      <c r="AC28" s="431"/>
      <c r="AD28" s="431"/>
      <c r="AE28" s="71"/>
      <c r="AF28" s="85"/>
      <c r="AG28" s="131"/>
      <c r="AH28" s="85"/>
      <c r="AI28" s="131"/>
      <c r="AJ28" s="85"/>
      <c r="AK28" s="131"/>
      <c r="AL28" s="160"/>
      <c r="AM28" s="160"/>
      <c r="AN28" s="160"/>
      <c r="AO28" s="160"/>
      <c r="AP28" s="85"/>
      <c r="AQ28" s="131"/>
      <c r="AR28" s="160"/>
    </row>
    <row r="29" customFormat="false" ht="24" hidden="false" customHeight="true" outlineLevel="0" collapsed="false">
      <c r="A29" s="12"/>
      <c r="B29" s="259"/>
      <c r="C29" s="161"/>
      <c r="D29" s="162"/>
      <c r="E29" s="171"/>
      <c r="F29" s="158"/>
      <c r="G29" s="165"/>
      <c r="H29" s="166"/>
      <c r="I29" s="172" t="s">
        <v>53</v>
      </c>
      <c r="J29" s="173">
        <f aca="false">SUM(J25:J28)</f>
      </c>
      <c r="K29" s="174">
        <f aca="false">+J29*0.3025</f>
      </c>
      <c r="L29" s="173">
        <f aca="false">SUM(L25:L28)</f>
      </c>
      <c r="M29" s="174">
        <f aca="false">+L29*0.3025</f>
      </c>
      <c r="N29" s="175">
        <f aca="false">SUM(N9:N28)</f>
      </c>
      <c r="O29" s="176">
        <f aca="false">+N29*0.3025</f>
      </c>
      <c r="P29" s="177">
        <f aca="false">SUM(P25:P28)</f>
      </c>
      <c r="Q29" s="178">
        <f aca="false">+P29*0.3025</f>
      </c>
      <c r="R29" s="174"/>
      <c r="S29" s="177"/>
      <c r="T29" s="178">
        <f aca="false">SUM(T9:T28)</f>
      </c>
      <c r="U29" s="173">
        <f aca="false">SUM(U9:U28)</f>
      </c>
      <c r="V29" s="177">
        <f aca="false">SUM(V9:V28)</f>
      </c>
      <c r="W29" s="178">
        <f aca="false">SUM(W9:W28)</f>
      </c>
      <c r="X29" s="173">
        <f aca="false">SUM(X9:X28)</f>
      </c>
      <c r="Y29" s="177">
        <f aca="false">SUM(Y9:Y28)</f>
      </c>
      <c r="Z29" s="178">
        <f aca="false">SUM(Z9:Z28)</f>
      </c>
      <c r="AA29" s="179">
        <f aca="false">+SUM(P29,T29,W29,X29,Y29,Z29)</f>
      </c>
      <c r="AB29" s="170"/>
      <c r="AC29" s="170"/>
      <c r="AD29" s="170"/>
      <c r="AE29" s="180"/>
      <c r="AF29" s="131">
        <f aca="false">+J28+N28+J30+N30</f>
      </c>
      <c r="AG29" s="131">
        <f aca="false">+AF29/134</f>
      </c>
      <c r="AH29" s="131"/>
      <c r="AI29" s="131"/>
      <c r="AJ29" s="85"/>
      <c r="AK29" s="131"/>
      <c r="AL29" s="181"/>
      <c r="AM29" s="181"/>
      <c r="AN29" s="181"/>
      <c r="AO29" s="181"/>
      <c r="AP29" s="182"/>
      <c r="AQ29" s="182"/>
      <c r="AR29" s="183"/>
    </row>
    <row r="30" customFormat="false" ht="24" hidden="true" customHeight="true" outlineLevel="0" collapsed="false">
      <c r="A30" s="12"/>
      <c r="B30" s="259"/>
      <c r="C30" s="161"/>
      <c r="D30" s="162" t="s">
        <v>14</v>
      </c>
      <c r="E30" s="184"/>
      <c r="F30" s="185"/>
      <c r="G30" s="186"/>
      <c r="H30" s="166"/>
      <c r="I30" s="187"/>
      <c r="J30" s="188"/>
      <c r="K30" s="88">
        <f aca="false">+J30*0.3025</f>
      </c>
      <c r="L30" s="189"/>
      <c r="M30" s="189"/>
      <c r="N30" s="190"/>
      <c r="O30" s="88">
        <f aca="false">+N30*0.3025</f>
      </c>
      <c r="P30" s="191">
        <f aca="false">J30+N30</f>
      </c>
      <c r="Q30" s="91">
        <f aca="false">+P30*0.3025</f>
      </c>
      <c r="R30" s="192"/>
      <c r="S30" s="193"/>
      <c r="T30" s="194">
        <f aca="false">R30+S30</f>
      </c>
      <c r="U30" s="195">
        <f aca="false">+AE30</f>
      </c>
      <c r="V30" s="190">
        <f aca="false">+AF30+AJ30</f>
      </c>
      <c r="W30" s="196">
        <f aca="false">+U30+V30</f>
      </c>
      <c r="X30" s="197"/>
      <c r="Y30" s="198"/>
      <c r="Z30" s="199"/>
      <c r="AA30" s="144">
        <f aca="false">+SUM(P30,T30,W30,X30,Y30,Z30)</f>
      </c>
      <c r="AB30" s="432"/>
      <c r="AC30" s="432"/>
      <c r="AD30" s="432"/>
      <c r="AE30" s="71"/>
      <c r="AF30" s="131"/>
      <c r="AG30" s="131"/>
      <c r="AH30" s="131"/>
      <c r="AI30" s="131"/>
      <c r="AJ30" s="85"/>
      <c r="AK30" s="131"/>
      <c r="AL30" s="160"/>
      <c r="AM30" s="160"/>
      <c r="AN30" s="160"/>
      <c r="AO30" s="160"/>
      <c r="AP30" s="182"/>
      <c r="AQ30" s="182"/>
      <c r="AR30" s="201"/>
    </row>
    <row r="31" customFormat="false" ht="24" hidden="true" customHeight="true" outlineLevel="0" collapsed="false">
      <c r="A31" s="12"/>
      <c r="B31" s="259"/>
      <c r="C31" s="145" t="s">
        <v>55</v>
      </c>
      <c r="D31" s="202" t="s">
        <v>38</v>
      </c>
      <c r="E31" s="203" t="s">
        <v>56</v>
      </c>
      <c r="F31" s="203"/>
      <c r="G31" s="204"/>
      <c r="H31" s="166"/>
      <c r="I31" s="187"/>
      <c r="J31" s="139"/>
      <c r="K31" s="205"/>
      <c r="L31" s="205"/>
      <c r="M31" s="205"/>
      <c r="N31" s="206"/>
      <c r="O31" s="206"/>
      <c r="P31" s="191"/>
      <c r="Q31" s="207"/>
      <c r="R31" s="208"/>
      <c r="S31" s="209"/>
      <c r="T31" s="62">
        <f aca="false">R31+S31</f>
      </c>
      <c r="U31" s="210"/>
      <c r="V31" s="140"/>
      <c r="W31" s="211">
        <f aca="false">+U31+V31</f>
      </c>
      <c r="X31" s="141"/>
      <c r="Y31" s="212"/>
      <c r="Z31" s="167"/>
      <c r="AA31" s="144">
        <f aca="false">+SUM(P31,T31,W31,X31,Y31,Z31)</f>
      </c>
      <c r="AB31" s="96"/>
      <c r="AC31" s="96"/>
      <c r="AD31" s="96"/>
      <c r="AE31" s="71"/>
      <c r="AF31" s="213"/>
      <c r="AG31" s="213"/>
      <c r="AH31" s="213"/>
      <c r="AI31" s="213"/>
      <c r="AJ31" s="85"/>
      <c r="AK31" s="131"/>
      <c r="AL31" s="160"/>
      <c r="AM31" s="160"/>
      <c r="AN31" s="160"/>
      <c r="AO31" s="160"/>
      <c r="AP31" s="160"/>
      <c r="AQ31" s="182"/>
      <c r="AR31" s="201"/>
    </row>
    <row r="32" customFormat="false" ht="24" hidden="true" customHeight="true" outlineLevel="0" collapsed="false">
      <c r="A32" s="12"/>
      <c r="B32" s="214"/>
      <c r="C32" s="215"/>
      <c r="D32" s="128" t="s">
        <v>39</v>
      </c>
      <c r="E32" s="216" t="s">
        <v>56</v>
      </c>
      <c r="F32" s="216"/>
      <c r="G32" s="217"/>
      <c r="H32" s="166"/>
      <c r="I32" s="187"/>
      <c r="J32" s="74"/>
      <c r="K32" s="75"/>
      <c r="L32" s="75"/>
      <c r="M32" s="75"/>
      <c r="N32" s="77"/>
      <c r="O32" s="60"/>
      <c r="P32" s="62">
        <f aca="false">J32+N32</f>
      </c>
      <c r="Q32" s="218"/>
      <c r="R32" s="208"/>
      <c r="S32" s="209"/>
      <c r="T32" s="62">
        <f aca="false">R32+S32</f>
      </c>
      <c r="U32" s="219"/>
      <c r="V32" s="93"/>
      <c r="W32" s="94">
        <f aca="false">+U32+V32</f>
      </c>
      <c r="X32" s="74"/>
      <c r="Y32" s="93">
        <f aca="false">+AA32-X32</f>
      </c>
      <c r="Z32" s="94"/>
      <c r="AA32" s="220">
        <f aca="false">+AH32</f>
      </c>
      <c r="AB32" s="97"/>
      <c r="AC32" s="97"/>
      <c r="AD32" s="97"/>
      <c r="AE32" s="71"/>
      <c r="AF32" s="85"/>
      <c r="AG32" s="85"/>
      <c r="AH32" s="131"/>
      <c r="AI32" s="131"/>
      <c r="AJ32" s="85"/>
      <c r="AK32" s="131"/>
      <c r="AL32" s="160"/>
      <c r="AM32" s="160"/>
      <c r="AN32" s="160"/>
      <c r="AO32" s="160"/>
      <c r="AP32" s="182"/>
      <c r="AQ32" s="182"/>
      <c r="AR32" s="201"/>
    </row>
    <row r="33" customFormat="false" ht="24" hidden="true" customHeight="true" outlineLevel="0" collapsed="false">
      <c r="A33" s="12"/>
      <c r="B33" s="221"/>
      <c r="C33" s="222"/>
      <c r="D33" s="223"/>
      <c r="E33" s="224"/>
      <c r="F33" s="225"/>
      <c r="G33" s="224"/>
      <c r="H33" s="166"/>
      <c r="I33" s="187"/>
      <c r="J33" s="219"/>
      <c r="K33" s="226"/>
      <c r="L33" s="226"/>
      <c r="M33" s="226"/>
      <c r="N33" s="93"/>
      <c r="O33" s="227"/>
      <c r="P33" s="228"/>
      <c r="Q33" s="229"/>
      <c r="R33" s="230"/>
      <c r="S33" s="231"/>
      <c r="T33" s="228"/>
      <c r="U33" s="219"/>
      <c r="V33" s="93"/>
      <c r="W33" s="94"/>
      <c r="X33" s="219"/>
      <c r="Y33" s="93"/>
      <c r="Z33" s="94"/>
      <c r="AA33" s="232"/>
      <c r="AB33" s="97"/>
      <c r="AC33" s="97"/>
      <c r="AD33" s="97"/>
      <c r="AE33" s="71"/>
      <c r="AF33" s="85"/>
      <c r="AG33" s="85"/>
      <c r="AH33" s="131">
        <f aca="false">+AE33-AF33</f>
      </c>
      <c r="AI33" s="131"/>
      <c r="AJ33" s="85"/>
      <c r="AK33" s="131"/>
      <c r="AL33" s="98"/>
      <c r="AM33" s="98"/>
      <c r="AN33" s="98"/>
      <c r="AO33" s="98"/>
      <c r="AP33" s="85"/>
      <c r="AQ33" s="85"/>
    </row>
    <row r="34" customFormat="false" ht="24" hidden="true" customHeight="true" outlineLevel="0" collapsed="false">
      <c r="A34" s="12"/>
      <c r="B34" s="38" t="s">
        <v>57</v>
      </c>
      <c r="C34" s="39" t="s">
        <v>49</v>
      </c>
      <c r="D34" s="233">
        <f aca="false">E15</f>
      </c>
      <c r="E34" s="234"/>
      <c r="F34" s="235">
        <f aca="false">D34*E34</f>
      </c>
      <c r="G34" s="41"/>
      <c r="H34" s="166"/>
      <c r="I34" s="187"/>
      <c r="J34" s="74"/>
      <c r="K34" s="75"/>
      <c r="L34" s="75"/>
      <c r="M34" s="75"/>
      <c r="N34" s="77"/>
      <c r="O34" s="236"/>
      <c r="P34" s="237">
        <f aca="false">J34+N34</f>
      </c>
      <c r="Q34" s="238"/>
      <c r="R34" s="208"/>
      <c r="S34" s="209"/>
      <c r="T34" s="237">
        <f aca="false">R34+S34</f>
      </c>
      <c r="U34" s="74"/>
      <c r="V34" s="77"/>
      <c r="W34" s="78">
        <f aca="false">+U34+V34</f>
      </c>
      <c r="X34" s="74"/>
      <c r="Y34" s="77"/>
      <c r="Z34" s="78"/>
      <c r="AA34" s="220">
        <f aca="false">+SUM(P34,T34,W34,X34,Y34,Z34)</f>
      </c>
      <c r="AB34" s="97"/>
      <c r="AC34" s="97"/>
      <c r="AD34" s="97"/>
      <c r="AE34" s="71"/>
      <c r="AF34" s="239"/>
      <c r="AG34" s="239"/>
      <c r="AH34" s="85"/>
      <c r="AI34" s="131"/>
      <c r="AJ34" s="85"/>
      <c r="AK34" s="131"/>
      <c r="AL34" s="85"/>
      <c r="AM34" s="85"/>
      <c r="AN34" s="85"/>
      <c r="AO34" s="85"/>
      <c r="AP34" s="85"/>
      <c r="AQ34" s="85"/>
    </row>
    <row r="35" customFormat="false" ht="24" hidden="true" customHeight="true" outlineLevel="0" collapsed="false">
      <c r="A35" s="12"/>
      <c r="B35" s="259"/>
      <c r="C35" s="240"/>
      <c r="D35" s="241"/>
      <c r="E35" s="242"/>
      <c r="F35" s="243"/>
      <c r="G35" s="244"/>
      <c r="H35" s="166"/>
      <c r="I35" s="187"/>
      <c r="J35" s="245"/>
      <c r="K35" s="245"/>
      <c r="L35" s="245"/>
      <c r="M35" s="245"/>
      <c r="N35" s="77"/>
      <c r="O35" s="236"/>
      <c r="P35" s="237">
        <f aca="false">J35+N35</f>
      </c>
      <c r="Q35" s="238"/>
      <c r="R35" s="208"/>
      <c r="S35" s="209"/>
      <c r="T35" s="237">
        <f aca="false">R35+S35</f>
      </c>
      <c r="U35" s="246"/>
      <c r="V35" s="77"/>
      <c r="W35" s="78">
        <f aca="false">+U35+V35</f>
      </c>
      <c r="X35" s="74"/>
      <c r="Y35" s="77"/>
      <c r="Z35" s="247"/>
      <c r="AA35" s="220">
        <f aca="false">+SUM(P35,T35,W35,X35,Y35,Z35)</f>
      </c>
      <c r="AB35" s="97"/>
      <c r="AC35" s="97"/>
      <c r="AD35" s="97"/>
      <c r="AE35" s="71"/>
      <c r="AF35" s="239"/>
      <c r="AG35" s="239"/>
      <c r="AH35" s="85"/>
      <c r="AI35" s="131"/>
      <c r="AJ35" s="85"/>
      <c r="AK35" s="131">
        <f aca="false">+AI35/AJ35</f>
      </c>
      <c r="AL35" s="85"/>
      <c r="AM35" s="85"/>
      <c r="AN35" s="85"/>
      <c r="AO35" s="85"/>
      <c r="AP35" s="85"/>
      <c r="AQ35" s="85"/>
    </row>
    <row r="36" customFormat="false" ht="24" hidden="true" customHeight="true" outlineLevel="0" collapsed="false">
      <c r="A36" s="12"/>
      <c r="B36" s="248"/>
      <c r="C36" s="100" t="s">
        <v>55</v>
      </c>
      <c r="D36" s="249">
        <f aca="false">+D34</f>
      </c>
      <c r="E36" s="250">
        <f aca="false">+E34</f>
      </c>
      <c r="F36" s="251">
        <f aca="false">D36*E36</f>
      </c>
      <c r="G36" s="252"/>
      <c r="H36" s="16"/>
      <c r="I36" s="172" t="s">
        <v>58</v>
      </c>
      <c r="J36" s="177">
        <f aca="false">SUM(J30:J35)</f>
      </c>
      <c r="K36" s="177">
        <f aca="false">+J36*0.3025</f>
      </c>
      <c r="L36" s="177"/>
      <c r="M36" s="177"/>
      <c r="N36" s="177">
        <f aca="false">SUM(N30:N35)</f>
      </c>
      <c r="O36" s="253">
        <f aca="false">+N36*0.3025</f>
      </c>
      <c r="P36" s="178">
        <f aca="false">SUM(P30:P35)</f>
      </c>
      <c r="Q36" s="179">
        <f aca="false">+P36*0.3025</f>
      </c>
      <c r="R36" s="254">
        <f aca="false">SUM(R30:R35)</f>
      </c>
      <c r="S36" s="255">
        <f aca="false">SUM(S30:S35)</f>
      </c>
      <c r="T36" s="256">
        <f aca="false">SUM(T30:T35)</f>
      </c>
      <c r="U36" s="173">
        <f aca="false">SUM(U30:U35)</f>
      </c>
      <c r="V36" s="177">
        <f aca="false">SUM(V30:V35)</f>
      </c>
      <c r="W36" s="178">
        <f aca="false">SUM(W30:W35)</f>
      </c>
      <c r="X36" s="173">
        <f aca="false">SUM(X30:X35)</f>
      </c>
      <c r="Y36" s="177">
        <f aca="false">SUM(Y30:Y35)</f>
      </c>
      <c r="Z36" s="178">
        <f aca="false">SUM(Z30:Z35)</f>
      </c>
      <c r="AA36" s="179">
        <f aca="false">+SUM(P36,T36,W36,X36,Y36,Z36)</f>
      </c>
      <c r="AB36" s="170"/>
      <c r="AC36" s="170"/>
      <c r="AD36" s="170"/>
      <c r="AE36" s="180"/>
      <c r="AF36" s="85"/>
      <c r="AG36" s="85"/>
      <c r="AH36" s="85"/>
      <c r="AI36" s="131"/>
      <c r="AJ36" s="85"/>
      <c r="AK36" s="131">
        <f aca="false">+AI36/AJ36</f>
      </c>
      <c r="AL36" s="257"/>
      <c r="AM36" s="257"/>
      <c r="AN36" s="257"/>
      <c r="AO36" s="257"/>
      <c r="AP36" s="258"/>
      <c r="AQ36" s="85"/>
    </row>
    <row r="37" customFormat="false" ht="24" hidden="false" customHeight="true" outlineLevel="0" collapsed="false">
      <c r="A37" s="12"/>
      <c r="B37" s="259" t="s">
        <v>59</v>
      </c>
      <c r="C37" s="100" t="s">
        <v>49</v>
      </c>
      <c r="D37" s="249"/>
      <c r="E37" s="242"/>
      <c r="F37" s="260"/>
      <c r="G37" s="244"/>
      <c r="H37" s="16"/>
      <c r="I37" s="38" t="s">
        <v>19</v>
      </c>
      <c r="J37" s="261">
        <f aca="false">J29+J36</f>
      </c>
      <c r="K37" s="262">
        <f aca="false">+J37*0.3025</f>
      </c>
      <c r="L37" s="261">
        <f aca="false">L29+L36</f>
      </c>
      <c r="M37" s="262">
        <f aca="false">+L37*0.3025</f>
      </c>
      <c r="N37" s="263">
        <f aca="false">N29+N36</f>
      </c>
      <c r="O37" s="264">
        <f aca="false">+N37*0.3025</f>
      </c>
      <c r="P37" s="265">
        <f aca="false">P29+P36</f>
      </c>
      <c r="Q37" s="266">
        <f aca="false">+P37*0.3025</f>
      </c>
      <c r="R37" s="267">
        <f aca="false">R29+R36</f>
      </c>
      <c r="S37" s="268">
        <f aca="false">S29+S36</f>
      </c>
      <c r="T37" s="269">
        <f aca="false">T29+T36</f>
      </c>
      <c r="U37" s="261">
        <f aca="false">U29+U36</f>
      </c>
      <c r="V37" s="263">
        <f aca="false">V29+V36</f>
      </c>
      <c r="W37" s="263">
        <f aca="false">W29+W36</f>
      </c>
      <c r="X37" s="261">
        <f aca="false">X29+X36</f>
      </c>
      <c r="Y37" s="263">
        <f aca="false">Y29+Y36</f>
      </c>
      <c r="Z37" s="265">
        <f aca="false">Z29+Z36</f>
      </c>
      <c r="AA37" s="266">
        <f aca="false">+SUM(P37,T37,W37,X37,Y37,Z37)</f>
      </c>
      <c r="AB37" s="270"/>
      <c r="AC37" s="270"/>
      <c r="AD37" s="270"/>
      <c r="AE37" s="180"/>
      <c r="AF37" s="271"/>
      <c r="AG37" s="271"/>
      <c r="AH37" s="271"/>
      <c r="AI37" s="131">
        <f aca="false">+AH36+AK36+AK35</f>
      </c>
      <c r="AJ37" s="271"/>
      <c r="AK37" s="131"/>
      <c r="AL37" s="98"/>
      <c r="AM37" s="98"/>
      <c r="AN37" s="98"/>
      <c r="AO37" s="98"/>
      <c r="AP37" s="85"/>
      <c r="AQ37" s="85"/>
    </row>
    <row r="38" customFormat="false" ht="24" hidden="true" customHeight="true" outlineLevel="0" collapsed="false">
      <c r="A38" s="12"/>
      <c r="B38" s="272"/>
      <c r="C38" s="273" t="s">
        <v>55</v>
      </c>
      <c r="D38" s="274"/>
      <c r="E38" s="275"/>
      <c r="F38" s="276"/>
      <c r="G38" s="277"/>
      <c r="H38" s="16"/>
      <c r="I38" s="272"/>
      <c r="J38" s="278">
        <f aca="false">J37*0.3025</f>
      </c>
      <c r="K38" s="279"/>
      <c r="L38" s="278">
        <f aca="false">L37*0.3025</f>
      </c>
      <c r="M38" s="279"/>
      <c r="N38" s="280">
        <f aca="false">N37*0.3025</f>
      </c>
      <c r="O38" s="281"/>
      <c r="P38" s="282">
        <f aca="false">P37*0.3025</f>
      </c>
      <c r="Q38" s="283"/>
      <c r="R38" s="284">
        <f aca="false">R37*0.3025</f>
      </c>
      <c r="S38" s="285">
        <f aca="false">S37*0.3025</f>
      </c>
      <c r="T38" s="286">
        <f aca="false">T37*0.3025</f>
      </c>
      <c r="U38" s="278">
        <f aca="false">U37*0.3025</f>
      </c>
      <c r="V38" s="280">
        <f aca="false">V37*0.3025</f>
      </c>
      <c r="W38" s="280">
        <f aca="false">W37*0.3025</f>
      </c>
      <c r="X38" s="278">
        <f aca="false">X37*0.3025</f>
      </c>
      <c r="Y38" s="280">
        <f aca="false">Y37*0.3025</f>
      </c>
      <c r="Z38" s="282">
        <f aca="false">Z37*0.3025</f>
      </c>
      <c r="AA38" s="287">
        <f aca="false">AA37*0.3025</f>
      </c>
      <c r="AB38" s="270"/>
      <c r="AC38" s="270"/>
      <c r="AD38" s="270"/>
      <c r="AE38" s="180"/>
      <c r="AF38" s="102"/>
      <c r="AG38" s="102"/>
      <c r="AH38" s="102"/>
      <c r="AI38" s="103"/>
      <c r="AJ38" s="102"/>
      <c r="AK38" s="103"/>
      <c r="AL38" s="98"/>
      <c r="AM38" s="98"/>
      <c r="AN38" s="98"/>
      <c r="AO38" s="98"/>
      <c r="AP38" s="85"/>
      <c r="AQ38" s="85"/>
    </row>
    <row r="39" customFormat="false" ht="24" hidden="false" customHeight="true" outlineLevel="0" collapsed="false">
      <c r="A39" s="12"/>
      <c r="B39" s="288"/>
      <c r="C39" s="288"/>
      <c r="D39" s="288"/>
      <c r="E39" s="288"/>
      <c r="F39" s="288"/>
      <c r="G39" s="288"/>
      <c r="H39" s="288"/>
      <c r="I39" s="13"/>
      <c r="J39" s="289"/>
      <c r="K39" s="289"/>
      <c r="L39" s="289"/>
      <c r="M39" s="289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7"/>
      <c r="AG39" s="7"/>
      <c r="AH39" s="7"/>
      <c r="AI39" s="9"/>
      <c r="AJ39" s="7"/>
      <c r="AK39" s="9"/>
      <c r="AL39" s="85"/>
      <c r="AM39" s="85"/>
      <c r="AN39" s="85"/>
      <c r="AO39" s="85"/>
      <c r="AP39" s="85"/>
      <c r="AQ39" s="85"/>
    </row>
    <row r="40" customFormat="false" ht="24" hidden="true" customHeight="true" outlineLevel="0" collapsed="false">
      <c r="A40" s="12"/>
      <c r="B40" s="290" t="s">
        <v>60</v>
      </c>
      <c r="C40" s="291"/>
      <c r="D40" s="291"/>
      <c r="E40" s="291"/>
      <c r="F40" s="292"/>
      <c r="G40" s="291"/>
      <c r="H40" s="291"/>
      <c r="I40" s="293"/>
      <c r="J40" s="294"/>
      <c r="K40" s="294"/>
      <c r="L40" s="294"/>
      <c r="M40" s="294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5" t="s">
        <v>61</v>
      </c>
      <c r="AB40" s="16"/>
      <c r="AC40" s="16"/>
      <c r="AD40" s="16"/>
      <c r="AE40" s="16"/>
      <c r="AF40" s="85"/>
      <c r="AG40" s="85"/>
      <c r="AH40" s="85"/>
      <c r="AI40" s="131"/>
      <c r="AJ40" s="85"/>
      <c r="AK40" s="131"/>
      <c r="AL40" s="85"/>
      <c r="AM40" s="85"/>
      <c r="AN40" s="85"/>
      <c r="AO40" s="85"/>
      <c r="AP40" s="85"/>
      <c r="AQ40" s="85"/>
    </row>
    <row r="41" customFormat="false" ht="24" hidden="true" customHeight="true" outlineLevel="0" collapsed="false">
      <c r="A41" s="12"/>
      <c r="B41" s="296" t="s">
        <v>62</v>
      </c>
      <c r="C41" s="297" t="s">
        <v>63</v>
      </c>
      <c r="D41" s="297"/>
      <c r="E41" s="298" t="s">
        <v>64</v>
      </c>
      <c r="F41" s="298"/>
      <c r="G41" s="298" t="s">
        <v>65</v>
      </c>
      <c r="H41" s="298"/>
      <c r="I41" s="299" t="s">
        <v>16</v>
      </c>
      <c r="J41" s="299"/>
      <c r="K41" s="300"/>
      <c r="L41" s="300"/>
      <c r="M41" s="300"/>
      <c r="N41" s="296" t="s">
        <v>66</v>
      </c>
      <c r="O41" s="296"/>
      <c r="P41" s="296"/>
      <c r="Q41" s="300"/>
      <c r="R41" s="300"/>
      <c r="S41" s="300"/>
      <c r="T41" s="300"/>
      <c r="U41" s="296" t="s">
        <v>67</v>
      </c>
      <c r="V41" s="296"/>
      <c r="W41" s="300"/>
      <c r="X41" s="296" t="s">
        <v>68</v>
      </c>
      <c r="Y41" s="296"/>
      <c r="Z41" s="297" t="s">
        <v>69</v>
      </c>
      <c r="AA41" s="301" t="s">
        <v>70</v>
      </c>
      <c r="AB41" s="302"/>
      <c r="AC41" s="302"/>
      <c r="AD41" s="302"/>
      <c r="AE41" s="302"/>
      <c r="AF41" s="303"/>
      <c r="AG41" s="303"/>
      <c r="AH41" s="303"/>
      <c r="AI41" s="304"/>
      <c r="AJ41" s="303"/>
      <c r="AK41" s="304"/>
      <c r="AL41" s="85"/>
      <c r="AM41" s="85"/>
      <c r="AN41" s="85"/>
      <c r="AO41" s="85"/>
      <c r="AP41" s="85"/>
      <c r="AQ41" s="85"/>
    </row>
    <row r="42" customFormat="false" ht="24" hidden="true" customHeight="true" outlineLevel="0" collapsed="false">
      <c r="A42" s="305"/>
      <c r="B42" s="306" t="s">
        <v>71</v>
      </c>
      <c r="C42" s="307"/>
      <c r="D42" s="308"/>
      <c r="E42" s="309"/>
      <c r="F42" s="308"/>
      <c r="G42" s="309"/>
      <c r="H42" s="308"/>
      <c r="I42" s="309"/>
      <c r="J42" s="310"/>
      <c r="K42" s="311"/>
      <c r="L42" s="311"/>
      <c r="M42" s="311"/>
      <c r="N42" s="312"/>
      <c r="O42" s="313"/>
      <c r="P42" s="314"/>
      <c r="Q42" s="315"/>
      <c r="R42" s="315"/>
      <c r="S42" s="315"/>
      <c r="T42" s="315"/>
      <c r="U42" s="307"/>
      <c r="V42" s="310"/>
      <c r="W42" s="311"/>
      <c r="X42" s="312"/>
      <c r="Y42" s="314"/>
      <c r="Z42" s="316"/>
      <c r="AA42" s="317"/>
      <c r="AB42" s="302"/>
      <c r="AC42" s="302"/>
      <c r="AD42" s="302"/>
      <c r="AE42" s="302"/>
      <c r="AF42" s="303"/>
      <c r="AG42" s="303"/>
      <c r="AH42" s="303"/>
      <c r="AI42" s="304"/>
      <c r="AJ42" s="303"/>
      <c r="AK42" s="304"/>
      <c r="AL42" s="85"/>
      <c r="AM42" s="85"/>
      <c r="AN42" s="85"/>
      <c r="AO42" s="85"/>
      <c r="AP42" s="85"/>
      <c r="AQ42" s="85"/>
    </row>
    <row r="43" customFormat="false" ht="24" hidden="true" customHeight="true" outlineLevel="0" collapsed="false">
      <c r="A43" s="305"/>
      <c r="B43" s="318" t="s">
        <v>11</v>
      </c>
      <c r="C43" s="319"/>
      <c r="D43" s="320"/>
      <c r="E43" s="321"/>
      <c r="F43" s="320"/>
      <c r="G43" s="321"/>
      <c r="H43" s="320"/>
      <c r="I43" s="321"/>
      <c r="J43" s="322"/>
      <c r="K43" s="323"/>
      <c r="L43" s="323"/>
      <c r="M43" s="323"/>
      <c r="N43" s="324"/>
      <c r="O43" s="325"/>
      <c r="P43" s="326"/>
      <c r="Q43" s="327"/>
      <c r="R43" s="327"/>
      <c r="S43" s="327"/>
      <c r="T43" s="327"/>
      <c r="U43" s="319"/>
      <c r="V43" s="322"/>
      <c r="W43" s="323"/>
      <c r="X43" s="324"/>
      <c r="Y43" s="326"/>
      <c r="Z43" s="328"/>
      <c r="AA43" s="317"/>
      <c r="AB43" s="329"/>
      <c r="AC43" s="329"/>
      <c r="AD43" s="329"/>
      <c r="AE43" s="329"/>
      <c r="AF43" s="330"/>
      <c r="AG43" s="330"/>
      <c r="AH43" s="330"/>
      <c r="AI43" s="331"/>
      <c r="AJ43" s="330"/>
      <c r="AK43" s="331"/>
      <c r="AL43" s="85"/>
      <c r="AM43" s="85"/>
      <c r="AN43" s="85"/>
      <c r="AO43" s="85"/>
      <c r="AP43" s="85"/>
      <c r="AQ43" s="85"/>
    </row>
    <row r="44" customFormat="false" ht="24" hidden="true" customHeight="true" outlineLevel="0" collapsed="false">
      <c r="A44" s="305"/>
      <c r="B44" s="332" t="s">
        <v>72</v>
      </c>
      <c r="C44" s="333">
        <f aca="false">C42+C43</f>
      </c>
      <c r="D44" s="334">
        <f aca="false">C44*0.3025</f>
      </c>
      <c r="E44" s="335">
        <f aca="false">E42+E43</f>
      </c>
      <c r="F44" s="334">
        <f aca="false">E44*0.3025</f>
      </c>
      <c r="G44" s="336">
        <f aca="false">G42+G43</f>
      </c>
      <c r="H44" s="334">
        <f aca="false">G44*0.3025</f>
      </c>
      <c r="I44" s="336">
        <f aca="false">I42+I43</f>
      </c>
      <c r="J44" s="337">
        <f aca="false">I44*0.3025</f>
      </c>
      <c r="K44" s="338"/>
      <c r="L44" s="338"/>
      <c r="M44" s="338"/>
      <c r="N44" s="339">
        <f aca="false">SUM(N42:N43)</f>
      </c>
      <c r="O44" s="340"/>
      <c r="P44" s="337">
        <f aca="false">N44*0.3025</f>
      </c>
      <c r="Q44" s="338"/>
      <c r="R44" s="338"/>
      <c r="S44" s="338"/>
      <c r="T44" s="338"/>
      <c r="U44" s="333"/>
      <c r="V44" s="337">
        <f aca="false">U44*0.3025</f>
      </c>
      <c r="W44" s="338"/>
      <c r="X44" s="333">
        <f aca="false">N44+U44</f>
      </c>
      <c r="Y44" s="337">
        <f aca="false">X44*0.3025</f>
      </c>
      <c r="Z44" s="341">
        <f aca="false">SUM(Z42:Z43)</f>
      </c>
      <c r="AA44" s="342">
        <f aca="false">SUM(AA42:AA43)</f>
      </c>
      <c r="AB44" s="329"/>
      <c r="AC44" s="329"/>
      <c r="AD44" s="329"/>
      <c r="AE44" s="329"/>
      <c r="AF44" s="330"/>
      <c r="AG44" s="330"/>
      <c r="AH44" s="330"/>
      <c r="AI44" s="331"/>
      <c r="AJ44" s="330"/>
      <c r="AK44" s="331"/>
      <c r="AL44" s="85"/>
      <c r="AM44" s="85"/>
      <c r="AN44" s="85"/>
      <c r="AO44" s="85"/>
      <c r="AP44" s="85"/>
      <c r="AQ44" s="85"/>
    </row>
    <row r="45" customFormat="false" ht="24" hidden="false" customHeight="true" outlineLevel="0" collapsed="false">
      <c r="A45" s="5"/>
      <c r="B45" s="343"/>
      <c r="C45" s="344"/>
      <c r="D45" s="302"/>
      <c r="E45" s="302"/>
      <c r="F45" s="329"/>
      <c r="G45" s="302"/>
      <c r="H45" s="288"/>
      <c r="I45" s="13"/>
      <c r="J45" s="343"/>
      <c r="K45" s="343"/>
      <c r="L45" s="343"/>
      <c r="M45" s="343"/>
      <c r="N45" s="343"/>
      <c r="O45" s="343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345"/>
      <c r="AA45" s="343"/>
      <c r="AB45" s="346"/>
      <c r="AC45" s="346"/>
      <c r="AD45" s="346"/>
      <c r="AE45" s="346"/>
      <c r="AF45" s="331"/>
      <c r="AG45" s="331"/>
      <c r="AH45" s="331"/>
      <c r="AI45" s="331"/>
      <c r="AJ45" s="331"/>
      <c r="AK45" s="331"/>
      <c r="AL45" s="85"/>
      <c r="AM45" s="85"/>
      <c r="AN45" s="85"/>
      <c r="AO45" s="85"/>
      <c r="AP45" s="85"/>
      <c r="AQ45" s="85"/>
    </row>
    <row r="46" customFormat="false" ht="24" hidden="false" customHeight="true" outlineLevel="0" collapsed="false">
      <c r="A46" s="5"/>
      <c r="B46" s="347" t="s">
        <v>73</v>
      </c>
      <c r="C46" s="347"/>
      <c r="D46" s="347"/>
      <c r="E46" s="347"/>
      <c r="F46" s="347"/>
      <c r="G46" s="302"/>
      <c r="H46" s="288"/>
      <c r="I46" s="13"/>
      <c r="J46" s="343"/>
      <c r="K46" s="343"/>
      <c r="L46" s="343"/>
      <c r="M46" s="343"/>
      <c r="N46" s="343"/>
      <c r="O46" s="343"/>
      <c r="P46" s="302"/>
      <c r="Q46" s="302"/>
      <c r="R46" s="302"/>
      <c r="S46" s="302"/>
      <c r="T46" s="302"/>
      <c r="U46" s="329"/>
      <c r="V46" s="302"/>
      <c r="W46" s="302"/>
      <c r="X46" s="329"/>
      <c r="Y46" s="302"/>
      <c r="Z46" s="329"/>
      <c r="AA46" s="295"/>
      <c r="AB46" s="329"/>
      <c r="AC46" s="329"/>
      <c r="AD46" s="295" t="s">
        <v>61</v>
      </c>
      <c r="AE46" s="348"/>
      <c r="AF46" s="116"/>
      <c r="AG46" s="116"/>
      <c r="AH46" s="116"/>
      <c r="AI46" s="117"/>
      <c r="AJ46" s="116"/>
      <c r="AK46" s="117"/>
      <c r="AL46" s="85"/>
      <c r="AM46" s="85"/>
      <c r="AN46" s="85"/>
      <c r="AO46" s="85"/>
      <c r="AP46" s="85"/>
      <c r="AQ46" s="85"/>
    </row>
    <row r="47" s="366" customFormat="true" ht="24" hidden="false" customHeight="true" outlineLevel="0" collapsed="false">
      <c r="A47" s="374"/>
      <c r="B47" s="296" t="s">
        <v>62</v>
      </c>
      <c r="C47" s="350" t="s">
        <v>74</v>
      </c>
      <c r="D47" s="301" t="s">
        <v>63</v>
      </c>
      <c r="E47" s="299" t="s">
        <v>75</v>
      </c>
      <c r="F47" s="351" t="s">
        <v>76</v>
      </c>
      <c r="G47" s="351"/>
      <c r="H47" s="352" t="s">
        <v>77</v>
      </c>
      <c r="I47" s="352"/>
      <c r="J47" s="353" t="s">
        <v>78</v>
      </c>
      <c r="K47" s="353"/>
      <c r="L47" s="353"/>
      <c r="M47" s="353"/>
      <c r="N47" s="353"/>
      <c r="O47" s="353"/>
      <c r="P47" s="354" t="s">
        <v>79</v>
      </c>
      <c r="Q47" s="354"/>
      <c r="R47" s="355"/>
      <c r="S47" s="355"/>
      <c r="T47" s="355"/>
      <c r="U47" s="355"/>
      <c r="V47" s="356"/>
      <c r="W47" s="357"/>
      <c r="X47" s="358"/>
      <c r="Y47" s="296" t="s">
        <v>68</v>
      </c>
      <c r="Z47" s="296"/>
      <c r="AA47" s="359" t="s">
        <v>79</v>
      </c>
      <c r="AB47" s="360" t="s">
        <v>80</v>
      </c>
      <c r="AC47" s="360"/>
      <c r="AD47" s="361" t="s">
        <v>81</v>
      </c>
      <c r="AE47" s="362"/>
      <c r="AF47" s="363"/>
      <c r="AG47" s="363"/>
      <c r="AH47" s="363"/>
      <c r="AI47" s="364"/>
      <c r="AJ47" s="363"/>
      <c r="AK47" s="364"/>
      <c r="AL47" s="365"/>
      <c r="AM47" s="365"/>
      <c r="AN47" s="365"/>
      <c r="AO47" s="365"/>
      <c r="AP47" s="365"/>
      <c r="AQ47" s="365"/>
    </row>
    <row r="48" s="366" customFormat="true" ht="24" hidden="false" customHeight="true" outlineLevel="0" collapsed="false">
      <c r="A48" s="374"/>
      <c r="B48" s="296"/>
      <c r="C48" s="350"/>
      <c r="D48" s="301"/>
      <c r="E48" s="299"/>
      <c r="F48" s="367" t="s">
        <v>82</v>
      </c>
      <c r="G48" s="367"/>
      <c r="H48" s="352"/>
      <c r="I48" s="352"/>
      <c r="J48" s="368" t="s">
        <v>83</v>
      </c>
      <c r="K48" s="368"/>
      <c r="L48" s="368"/>
      <c r="M48" s="368"/>
      <c r="N48" s="368"/>
      <c r="O48" s="368"/>
      <c r="P48" s="369" t="s">
        <v>84</v>
      </c>
      <c r="Q48" s="369"/>
      <c r="R48" s="370"/>
      <c r="S48" s="368" t="s">
        <v>17</v>
      </c>
      <c r="T48" s="368"/>
      <c r="U48" s="368" t="s">
        <v>85</v>
      </c>
      <c r="V48" s="368"/>
      <c r="W48" s="371"/>
      <c r="X48" s="372"/>
      <c r="Y48" s="296"/>
      <c r="Z48" s="296"/>
      <c r="AA48" s="359"/>
      <c r="AB48" s="360"/>
      <c r="AC48" s="360"/>
      <c r="AD48" s="361"/>
      <c r="AE48" s="373"/>
      <c r="AF48" s="116"/>
      <c r="AG48" s="116"/>
      <c r="AH48" s="116"/>
      <c r="AI48" s="117"/>
      <c r="AJ48" s="330"/>
      <c r="AK48" s="331"/>
      <c r="AL48" s="374" t="s">
        <v>14</v>
      </c>
      <c r="AM48" s="374"/>
      <c r="AN48" s="374"/>
      <c r="AO48" s="374"/>
      <c r="AP48" s="365"/>
      <c r="AQ48" s="365"/>
    </row>
    <row r="49" s="366" customFormat="true" ht="24" hidden="false" customHeight="true" outlineLevel="0" collapsed="false">
      <c r="A49" s="374"/>
      <c r="B49" s="375" t="s">
        <v>86</v>
      </c>
      <c r="C49" s="376"/>
      <c r="D49" s="377"/>
      <c r="E49" s="378">
        <f aca="false">C49/$C$59</f>
      </c>
      <c r="F49" s="379"/>
      <c r="G49" s="380">
        <f aca="false">F49*0.3025</f>
      </c>
      <c r="H49" s="381">
        <f aca="false">+D49+F49</f>
      </c>
      <c r="I49" s="382">
        <f aca="false">H49*0.3025</f>
      </c>
      <c r="J49" s="383"/>
      <c r="K49" s="383"/>
      <c r="L49" s="383"/>
      <c r="M49" s="383"/>
      <c r="N49" s="383"/>
      <c r="O49" s="383"/>
      <c r="P49" s="384"/>
      <c r="Q49" s="382">
        <f aca="false">P49*0.3025</f>
      </c>
      <c r="R49" s="382">
        <f aca="false">P49*0.3025</f>
      </c>
      <c r="S49" s="384">
        <f aca="false">ROUND(D49/$D$59*$S$59,2)</f>
      </c>
      <c r="T49" s="382">
        <f aca="false">S49*0.3025</f>
      </c>
      <c r="U49" s="385">
        <f aca="false">J49+P49+S49</f>
      </c>
      <c r="V49" s="382">
        <f aca="false">U49*0.3025</f>
      </c>
      <c r="W49" s="386"/>
      <c r="X49" s="382"/>
      <c r="Y49" s="387">
        <f aca="false">H49+U49</f>
      </c>
      <c r="Z49" s="388">
        <f aca="false">Y49*0.3025</f>
      </c>
      <c r="AA49" s="389">
        <f aca="false">+AL49</f>
      </c>
      <c r="AB49" s="390">
        <f aca="false">+H49+P49</f>
      </c>
      <c r="AC49" s="380">
        <f aca="false">AB49*0.3025</f>
      </c>
      <c r="AD49" s="391"/>
      <c r="AE49" s="392"/>
      <c r="AF49" s="363"/>
      <c r="AG49" s="363"/>
      <c r="AH49" s="363"/>
      <c r="AI49" s="364"/>
      <c r="AJ49" s="363"/>
      <c r="AK49" s="364"/>
      <c r="AL49" s="365">
        <f aca="false">SUM(AF49:AK49)</f>
      </c>
      <c r="AM49" s="365"/>
      <c r="AN49" s="365"/>
      <c r="AO49" s="365"/>
      <c r="AP49" s="365"/>
      <c r="AQ49" s="365"/>
    </row>
    <row r="50" s="366" customFormat="true" ht="24" hidden="false" customHeight="true" outlineLevel="0" collapsed="false">
      <c r="A50" s="374"/>
      <c r="B50" s="375" t="s">
        <v>87</v>
      </c>
      <c r="C50" s="376"/>
      <c r="D50" s="377"/>
      <c r="E50" s="378">
        <f aca="false">C50/$C$59</f>
      </c>
      <c r="F50" s="379"/>
      <c r="G50" s="380">
        <f aca="false">F50*0.3025</f>
      </c>
      <c r="H50" s="381">
        <f aca="false">+D50+F50</f>
      </c>
      <c r="I50" s="382">
        <f aca="false">H50*0.3025</f>
      </c>
      <c r="J50" s="383"/>
      <c r="K50" s="383"/>
      <c r="L50" s="383"/>
      <c r="M50" s="383"/>
      <c r="N50" s="383"/>
      <c r="O50" s="383"/>
      <c r="P50" s="384"/>
      <c r="Q50" s="382">
        <f aca="false">P50*0.3025</f>
      </c>
      <c r="R50" s="382">
        <f aca="false">P50*0.3025</f>
      </c>
      <c r="S50" s="384">
        <f aca="false">ROUND(D50/$D$59*$S$59,2)</f>
      </c>
      <c r="T50" s="382">
        <f aca="false">S50*0.3025</f>
      </c>
      <c r="U50" s="385">
        <f aca="false">J50+P50+S50</f>
      </c>
      <c r="V50" s="382">
        <f aca="false">U50*0.3025</f>
      </c>
      <c r="W50" s="393"/>
      <c r="X50" s="382"/>
      <c r="Y50" s="387">
        <f aca="false">H50+U50</f>
      </c>
      <c r="Z50" s="388">
        <f aca="false">Y50*0.3025</f>
      </c>
      <c r="AA50" s="394"/>
      <c r="AB50" s="390">
        <f aca="false">+H50+P50</f>
      </c>
      <c r="AC50" s="380">
        <f aca="false">AB50*0.3025</f>
      </c>
      <c r="AD50" s="391"/>
      <c r="AE50" s="395"/>
      <c r="AF50" s="330"/>
      <c r="AG50" s="330"/>
      <c r="AH50" s="363"/>
      <c r="AI50" s="364"/>
      <c r="AJ50" s="363"/>
      <c r="AK50" s="364"/>
      <c r="AL50" s="396">
        <f aca="false">SUM(AH50:AK50)</f>
      </c>
      <c r="AM50" s="365"/>
      <c r="AN50" s="365"/>
      <c r="AO50" s="365"/>
      <c r="AP50" s="365"/>
      <c r="AQ50" s="365"/>
    </row>
    <row r="51" s="366" customFormat="true" ht="24" hidden="false" customHeight="true" outlineLevel="0" collapsed="false">
      <c r="A51" s="374"/>
      <c r="B51" s="375" t="s">
        <v>88</v>
      </c>
      <c r="C51" s="376"/>
      <c r="D51" s="377"/>
      <c r="E51" s="378">
        <f aca="false">C51/$C$59</f>
      </c>
      <c r="F51" s="379"/>
      <c r="G51" s="380">
        <f aca="false">F51*0.3025</f>
      </c>
      <c r="H51" s="381">
        <f aca="false">+D51+F51</f>
      </c>
      <c r="I51" s="382">
        <f aca="false">H51*0.3025</f>
      </c>
      <c r="J51" s="383"/>
      <c r="K51" s="383"/>
      <c r="L51" s="383"/>
      <c r="M51" s="383"/>
      <c r="N51" s="383"/>
      <c r="O51" s="383"/>
      <c r="P51" s="384"/>
      <c r="Q51" s="382">
        <f aca="false">P51*0.3025</f>
      </c>
      <c r="R51" s="382">
        <f aca="false">P51*0.3025</f>
      </c>
      <c r="S51" s="384">
        <f aca="false">ROUND(D51/$D$59*$S$59,2)</f>
      </c>
      <c r="T51" s="382">
        <f aca="false">S51*0.3025</f>
      </c>
      <c r="U51" s="385">
        <f aca="false">J51+P51+S51</f>
      </c>
      <c r="V51" s="382">
        <f aca="false">U51*0.3025</f>
      </c>
      <c r="W51" s="397"/>
      <c r="X51" s="398"/>
      <c r="Y51" s="387">
        <f aca="false">H51+U51</f>
      </c>
      <c r="Z51" s="388">
        <f aca="false">Y51*0.3025</f>
      </c>
      <c r="AA51" s="394"/>
      <c r="AB51" s="390">
        <f aca="false">+H51+P51</f>
      </c>
      <c r="AC51" s="380">
        <f aca="false">AB51*0.3025</f>
      </c>
      <c r="AD51" s="391"/>
      <c r="AE51" s="399"/>
      <c r="AF51" s="330"/>
      <c r="AG51" s="330"/>
      <c r="AH51" s="363"/>
      <c r="AI51" s="364"/>
      <c r="AJ51" s="363"/>
      <c r="AK51" s="364"/>
      <c r="AL51" s="396">
        <f aca="false">SUM(AH51:AK51)</f>
      </c>
      <c r="AM51" s="365"/>
      <c r="AN51" s="365"/>
      <c r="AO51" s="365"/>
      <c r="AP51" s="365"/>
      <c r="AQ51" s="365"/>
    </row>
    <row r="52" s="366" customFormat="true" ht="24" hidden="false" customHeight="true" outlineLevel="0" collapsed="false">
      <c r="A52" s="374"/>
      <c r="B52" s="375" t="s">
        <v>89</v>
      </c>
      <c r="C52" s="376"/>
      <c r="D52" s="377"/>
      <c r="E52" s="378">
        <f aca="false">C52/$C$59</f>
      </c>
      <c r="F52" s="379"/>
      <c r="G52" s="380">
        <f aca="false">F52*0.3025</f>
      </c>
      <c r="H52" s="381">
        <f aca="false">+D52+F52</f>
      </c>
      <c r="I52" s="382">
        <f aca="false">H52*0.3025</f>
      </c>
      <c r="J52" s="383"/>
      <c r="K52" s="383"/>
      <c r="L52" s="383"/>
      <c r="M52" s="383"/>
      <c r="N52" s="383"/>
      <c r="O52" s="383"/>
      <c r="P52" s="384"/>
      <c r="Q52" s="382">
        <f aca="false">P52*0.3025</f>
      </c>
      <c r="R52" s="382"/>
      <c r="S52" s="384"/>
      <c r="T52" s="382"/>
      <c r="U52" s="385"/>
      <c r="V52" s="382"/>
      <c r="W52" s="397"/>
      <c r="X52" s="398"/>
      <c r="Y52" s="387"/>
      <c r="Z52" s="388"/>
      <c r="AA52" s="389"/>
      <c r="AB52" s="390">
        <f aca="false">+H52+P52</f>
      </c>
      <c r="AC52" s="380">
        <f aca="false">AB52*0.3025</f>
      </c>
      <c r="AD52" s="400"/>
      <c r="AE52" s="399"/>
      <c r="AF52" s="330"/>
      <c r="AG52" s="330"/>
      <c r="AH52" s="330"/>
      <c r="AI52" s="331"/>
      <c r="AJ52" s="330"/>
      <c r="AK52" s="331"/>
      <c r="AL52" s="365"/>
      <c r="AM52" s="365"/>
      <c r="AN52" s="365"/>
      <c r="AO52" s="365"/>
      <c r="AP52" s="365"/>
      <c r="AQ52" s="365"/>
    </row>
    <row r="53" s="366" customFormat="true" ht="24" hidden="true" customHeight="true" outlineLevel="0" collapsed="false">
      <c r="A53" s="374"/>
      <c r="B53" s="375"/>
      <c r="C53" s="376"/>
      <c r="D53" s="377"/>
      <c r="E53" s="378"/>
      <c r="F53" s="379"/>
      <c r="G53" s="380"/>
      <c r="H53" s="381"/>
      <c r="I53" s="382"/>
      <c r="J53" s="383"/>
      <c r="K53" s="383"/>
      <c r="L53" s="383"/>
      <c r="M53" s="383"/>
      <c r="N53" s="383"/>
      <c r="O53" s="383"/>
      <c r="P53" s="384"/>
      <c r="Q53" s="401"/>
      <c r="R53" s="382"/>
      <c r="S53" s="384"/>
      <c r="T53" s="382"/>
      <c r="U53" s="385"/>
      <c r="V53" s="382"/>
      <c r="W53" s="397"/>
      <c r="X53" s="398"/>
      <c r="Y53" s="387"/>
      <c r="Z53" s="388"/>
      <c r="AA53" s="394"/>
      <c r="AB53" s="390"/>
      <c r="AC53" s="380"/>
      <c r="AD53" s="400"/>
      <c r="AE53" s="399"/>
      <c r="AF53" s="330"/>
      <c r="AG53" s="330"/>
      <c r="AH53" s="330"/>
      <c r="AI53" s="331"/>
      <c r="AJ53" s="330"/>
      <c r="AK53" s="331"/>
      <c r="AL53" s="365"/>
      <c r="AM53" s="365"/>
      <c r="AN53" s="365"/>
      <c r="AO53" s="365"/>
      <c r="AP53" s="365"/>
      <c r="AQ53" s="365"/>
    </row>
    <row r="54" s="366" customFormat="true" ht="24" hidden="true" customHeight="true" outlineLevel="0" collapsed="false">
      <c r="A54" s="374"/>
      <c r="B54" s="375"/>
      <c r="C54" s="376"/>
      <c r="D54" s="377"/>
      <c r="E54" s="378"/>
      <c r="F54" s="379"/>
      <c r="G54" s="380"/>
      <c r="H54" s="381"/>
      <c r="I54" s="382"/>
      <c r="J54" s="383"/>
      <c r="K54" s="383"/>
      <c r="L54" s="383"/>
      <c r="M54" s="383"/>
      <c r="N54" s="383"/>
      <c r="O54" s="383"/>
      <c r="P54" s="384"/>
      <c r="Q54" s="401"/>
      <c r="R54" s="382"/>
      <c r="S54" s="384"/>
      <c r="T54" s="382"/>
      <c r="U54" s="385"/>
      <c r="V54" s="382"/>
      <c r="W54" s="397"/>
      <c r="X54" s="398"/>
      <c r="Y54" s="387"/>
      <c r="Z54" s="388"/>
      <c r="AA54" s="394"/>
      <c r="AB54" s="390"/>
      <c r="AC54" s="380"/>
      <c r="AD54" s="400"/>
      <c r="AE54" s="399"/>
      <c r="AF54" s="330"/>
      <c r="AG54" s="330"/>
      <c r="AH54" s="330"/>
      <c r="AI54" s="331"/>
      <c r="AJ54" s="330"/>
      <c r="AK54" s="331"/>
      <c r="AL54" s="365"/>
      <c r="AM54" s="365"/>
      <c r="AN54" s="365"/>
      <c r="AO54" s="365"/>
      <c r="AP54" s="365"/>
      <c r="AQ54" s="365"/>
    </row>
    <row r="55" s="366" customFormat="true" ht="24" hidden="true" customHeight="true" outlineLevel="0" collapsed="false">
      <c r="A55" s="374"/>
      <c r="B55" s="375"/>
      <c r="C55" s="376"/>
      <c r="D55" s="377"/>
      <c r="E55" s="398">
        <f aca="false">C55/$C$59</f>
      </c>
      <c r="F55" s="402">
        <f aca="false">ROUND(D55/$D$59*($N$29+$S$29)+D55*0.02,2)</f>
      </c>
      <c r="G55" s="403">
        <f aca="false">F55*0.3025</f>
      </c>
      <c r="H55" s="404">
        <f aca="false">+D55+F55</f>
      </c>
      <c r="I55" s="398">
        <f aca="false">H55*0.3025</f>
      </c>
      <c r="J55" s="383"/>
      <c r="K55" s="383"/>
      <c r="L55" s="383"/>
      <c r="M55" s="383"/>
      <c r="N55" s="383"/>
      <c r="O55" s="383"/>
      <c r="P55" s="402"/>
      <c r="Q55" s="397"/>
      <c r="R55" s="398">
        <f aca="false">P55*0.3025</f>
      </c>
      <c r="S55" s="402">
        <f aca="false">ROUND(D55/$D$59*$S$59,2)</f>
      </c>
      <c r="T55" s="398">
        <f aca="false">S55*0.3025</f>
      </c>
      <c r="U55" s="405">
        <f aca="false">J55+P55+S55</f>
      </c>
      <c r="V55" s="398">
        <f aca="false">U55*0.3025</f>
      </c>
      <c r="W55" s="397"/>
      <c r="X55" s="398"/>
      <c r="Y55" s="406">
        <f aca="false">H55+U55</f>
      </c>
      <c r="Z55" s="256">
        <f aca="false">Y55*0.3025</f>
      </c>
      <c r="AA55" s="389"/>
      <c r="AB55" s="407">
        <f aca="false">+D55+AA55</f>
      </c>
      <c r="AC55" s="403">
        <f aca="false">AB55*0.3025</f>
      </c>
      <c r="AD55" s="400"/>
      <c r="AE55" s="399"/>
      <c r="AF55" s="330"/>
      <c r="AG55" s="330"/>
      <c r="AH55" s="330"/>
      <c r="AI55" s="331"/>
      <c r="AJ55" s="330"/>
      <c r="AK55" s="331"/>
      <c r="AL55" s="365"/>
      <c r="AM55" s="365"/>
      <c r="AN55" s="365"/>
      <c r="AO55" s="365"/>
      <c r="AP55" s="365"/>
      <c r="AQ55" s="365"/>
    </row>
    <row r="56" s="366" customFormat="true" ht="24" hidden="true" customHeight="true" outlineLevel="0" collapsed="false">
      <c r="A56" s="374"/>
      <c r="B56" s="375"/>
      <c r="C56" s="376"/>
      <c r="D56" s="377"/>
      <c r="E56" s="398">
        <f aca="false">C56/$C$59</f>
      </c>
      <c r="F56" s="402">
        <f aca="false">ROUND(D56/$D$59*($N$29+$S$29)+D56*0.02,2)</f>
      </c>
      <c r="G56" s="403">
        <f aca="false">F56*0.3025</f>
      </c>
      <c r="H56" s="404">
        <f aca="false">+D56+F56</f>
      </c>
      <c r="I56" s="398">
        <f aca="false">H56*0.3025</f>
      </c>
      <c r="J56" s="383"/>
      <c r="K56" s="383"/>
      <c r="L56" s="383"/>
      <c r="M56" s="383"/>
      <c r="N56" s="383"/>
      <c r="O56" s="383"/>
      <c r="P56" s="402"/>
      <c r="Q56" s="397"/>
      <c r="R56" s="398">
        <f aca="false">P56*0.3025</f>
      </c>
      <c r="S56" s="402">
        <f aca="false">ROUND(D56/$D$59*$S$59,2)</f>
      </c>
      <c r="T56" s="398">
        <f aca="false">S56*0.3025</f>
      </c>
      <c r="U56" s="405">
        <f aca="false">J56+P56+S56</f>
      </c>
      <c r="V56" s="398">
        <f aca="false">U56*0.3025</f>
      </c>
      <c r="W56" s="397"/>
      <c r="X56" s="398"/>
      <c r="Y56" s="406">
        <f aca="false">H56+U56</f>
      </c>
      <c r="Z56" s="256">
        <f aca="false">Y56*0.3025</f>
      </c>
      <c r="AA56" s="394"/>
      <c r="AB56" s="407">
        <f aca="false">+D56+AA56</f>
      </c>
      <c r="AC56" s="403">
        <f aca="false">AB56*0.3025</f>
      </c>
      <c r="AD56" s="400"/>
      <c r="AE56" s="399"/>
      <c r="AF56" s="330"/>
      <c r="AG56" s="330"/>
      <c r="AH56" s="330"/>
      <c r="AI56" s="331"/>
      <c r="AJ56" s="330"/>
      <c r="AK56" s="331"/>
      <c r="AL56" s="365"/>
      <c r="AM56" s="365"/>
      <c r="AN56" s="365"/>
      <c r="AO56" s="365"/>
      <c r="AP56" s="365"/>
      <c r="AQ56" s="365"/>
    </row>
    <row r="57" s="366" customFormat="true" ht="24" hidden="true" customHeight="true" outlineLevel="0" collapsed="false">
      <c r="A57" s="374"/>
      <c r="B57" s="375"/>
      <c r="C57" s="376"/>
      <c r="D57" s="377"/>
      <c r="E57" s="398">
        <f aca="false">C57/$C$59</f>
      </c>
      <c r="F57" s="402">
        <f aca="false">ROUND(D57/$D$59*($N$29+$S$29)+D57*0.02,2)</f>
      </c>
      <c r="G57" s="403">
        <f aca="false">F57*0.3025</f>
      </c>
      <c r="H57" s="404">
        <f aca="false">+D57+F57</f>
      </c>
      <c r="I57" s="398">
        <f aca="false">H57*0.3025</f>
      </c>
      <c r="J57" s="383"/>
      <c r="K57" s="383"/>
      <c r="L57" s="383"/>
      <c r="M57" s="383"/>
      <c r="N57" s="383"/>
      <c r="O57" s="383"/>
      <c r="P57" s="402"/>
      <c r="Q57" s="397"/>
      <c r="R57" s="398">
        <f aca="false">P57*0.3025</f>
      </c>
      <c r="S57" s="402">
        <f aca="false">ROUND(D57/$D$59*$S$59,2)</f>
      </c>
      <c r="T57" s="398">
        <f aca="false">S57*0.3025</f>
      </c>
      <c r="U57" s="405">
        <f aca="false">J57+P57+S57</f>
      </c>
      <c r="V57" s="398">
        <f aca="false">U57*0.3025</f>
      </c>
      <c r="W57" s="397"/>
      <c r="X57" s="398"/>
      <c r="Y57" s="406">
        <f aca="false">H57+U57</f>
      </c>
      <c r="Z57" s="256">
        <f aca="false">Y57*0.3025</f>
      </c>
      <c r="AA57" s="394"/>
      <c r="AB57" s="407">
        <f aca="false">+D57+AA57</f>
      </c>
      <c r="AC57" s="403">
        <f aca="false">AB57*0.3025</f>
      </c>
      <c r="AD57" s="400"/>
      <c r="AE57" s="399"/>
      <c r="AF57" s="330"/>
      <c r="AG57" s="330"/>
      <c r="AH57" s="330"/>
      <c r="AI57" s="331"/>
      <c r="AJ57" s="330"/>
      <c r="AK57" s="331"/>
      <c r="AL57" s="365"/>
      <c r="AM57" s="365"/>
      <c r="AN57" s="365"/>
      <c r="AO57" s="365"/>
      <c r="AP57" s="365"/>
      <c r="AQ57" s="365"/>
    </row>
    <row r="58" s="366" customFormat="true" ht="24" hidden="false" customHeight="true" outlineLevel="0" collapsed="false">
      <c r="A58" s="374"/>
      <c r="B58" s="375"/>
      <c r="C58" s="376"/>
      <c r="D58" s="377"/>
      <c r="E58" s="398">
        <f aca="false">C58/$C$59</f>
      </c>
      <c r="F58" s="402">
        <f aca="false">ROUND(D58/$D$59*$N$29+D58*0.02,2)</f>
      </c>
      <c r="G58" s="403">
        <f aca="false">F58*0.3025</f>
      </c>
      <c r="H58" s="404">
        <f aca="false">+D58+F58</f>
      </c>
      <c r="I58" s="398">
        <f aca="false">H58*0.3025</f>
      </c>
      <c r="J58" s="383"/>
      <c r="K58" s="383"/>
      <c r="L58" s="383"/>
      <c r="M58" s="383"/>
      <c r="N58" s="383"/>
      <c r="O58" s="383"/>
      <c r="P58" s="402"/>
      <c r="Q58" s="397"/>
      <c r="R58" s="398">
        <f aca="false">P58*0.3025</f>
      </c>
      <c r="S58" s="402">
        <f aca="false">ROUND(D58/$D$59*$S$59,2)</f>
      </c>
      <c r="T58" s="398">
        <f aca="false">S58*0.3025</f>
      </c>
      <c r="U58" s="405">
        <f aca="false">J58+P58+S58</f>
      </c>
      <c r="V58" s="398">
        <f aca="false">U58*0.3025</f>
      </c>
      <c r="W58" s="397"/>
      <c r="X58" s="398"/>
      <c r="Y58" s="406">
        <f aca="false">H58+U58</f>
      </c>
      <c r="Z58" s="256">
        <f aca="false">Y58*0.3025</f>
      </c>
      <c r="AA58" s="389"/>
      <c r="AB58" s="407">
        <f aca="false">+D58+AA58</f>
      </c>
      <c r="AC58" s="403">
        <f aca="false">AB58*0.3025</f>
      </c>
      <c r="AD58" s="400"/>
      <c r="AE58" s="399"/>
      <c r="AF58" s="330"/>
      <c r="AG58" s="330"/>
      <c r="AH58" s="330"/>
      <c r="AI58" s="331"/>
      <c r="AJ58" s="330"/>
      <c r="AK58" s="331"/>
      <c r="AL58" s="365"/>
      <c r="AM58" s="365"/>
      <c r="AN58" s="365"/>
      <c r="AO58" s="365"/>
      <c r="AP58" s="365"/>
      <c r="AQ58" s="365"/>
    </row>
    <row r="59" s="423" customFormat="true" ht="24" hidden="false" customHeight="true" outlineLevel="0" collapsed="false">
      <c r="A59" s="305"/>
      <c r="B59" s="408" t="s">
        <v>72</v>
      </c>
      <c r="C59" s="409">
        <f aca="false">SUM(C49:C58)</f>
      </c>
      <c r="D59" s="410">
        <f aca="false">+$C$49*D49+$C$50*D50+$C$51*D51+$C$52*D52+$C$53*D53+$C$54*D54+$C$55*D55+$C$56*D56</f>
      </c>
      <c r="E59" s="411">
        <f aca="false">SUM(E49:E58)</f>
      </c>
      <c r="F59" s="412"/>
      <c r="G59" s="413"/>
      <c r="H59" s="414">
        <f aca="false">+$C$49*H49+$C$50*H50+$C$51*H51+$C$52*H52+$C$53*H53+$C$54*H54+$C$55*H55+$C$56*H56</f>
      </c>
      <c r="I59" s="388">
        <f aca="false">H59*0.3025</f>
      </c>
      <c r="J59" s="415"/>
      <c r="K59" s="415"/>
      <c r="L59" s="415"/>
      <c r="M59" s="415"/>
      <c r="N59" s="415"/>
      <c r="O59" s="415"/>
      <c r="P59" s="416">
        <f aca="false">SUM(P49:P58)</f>
      </c>
      <c r="Q59" s="388">
        <f aca="false">P59*0.3025</f>
      </c>
      <c r="R59" s="413">
        <f aca="false">P59*0.3025</f>
      </c>
      <c r="S59" s="417">
        <f aca="false">+Y36</f>
      </c>
      <c r="T59" s="413">
        <f aca="false">S59*0.3025</f>
      </c>
      <c r="U59" s="412">
        <f aca="false">+J59+P59+S59</f>
      </c>
      <c r="V59" s="388">
        <f aca="false">U59*0.3025</f>
      </c>
      <c r="W59" s="418"/>
      <c r="X59" s="388"/>
      <c r="Y59" s="387">
        <f aca="false">H59+U59</f>
      </c>
      <c r="Z59" s="388">
        <f aca="false">Y59*0.3025</f>
      </c>
      <c r="AA59" s="419"/>
      <c r="AB59" s="420">
        <f aca="false">SUM(AB49:AB58)</f>
      </c>
      <c r="AC59" s="388">
        <f aca="false">AB59*0.3025</f>
      </c>
      <c r="AD59" s="421"/>
      <c r="AE59" s="302"/>
      <c r="AF59" s="422"/>
      <c r="AG59" s="422"/>
      <c r="AH59" s="303"/>
      <c r="AI59" s="304"/>
      <c r="AJ59" s="303"/>
      <c r="AK59" s="304"/>
      <c r="AL59" s="85"/>
      <c r="AM59" s="85"/>
      <c r="AN59" s="85"/>
      <c r="AO59" s="85"/>
      <c r="AP59" s="85"/>
      <c r="AQ59" s="85"/>
    </row>
    <row r="60" s="423" customFormat="true" ht="10.5" hidden="false" customHeight="true" outlineLevel="0" collapsed="false">
      <c r="A60" s="305"/>
      <c r="B60" s="343"/>
      <c r="C60" s="424"/>
      <c r="D60" s="425"/>
      <c r="E60" s="426"/>
      <c r="F60" s="425"/>
      <c r="G60" s="329"/>
      <c r="H60" s="425"/>
      <c r="I60" s="329"/>
      <c r="J60" s="425"/>
      <c r="K60" s="425"/>
      <c r="L60" s="425"/>
      <c r="M60" s="425"/>
      <c r="N60" s="329"/>
      <c r="O60" s="329"/>
      <c r="P60" s="427"/>
      <c r="Q60" s="427"/>
      <c r="R60" s="427"/>
      <c r="S60" s="427"/>
      <c r="T60" s="427"/>
      <c r="U60" s="329"/>
      <c r="V60" s="425"/>
      <c r="W60" s="425"/>
      <c r="X60" s="329"/>
      <c r="Y60" s="425"/>
      <c r="Z60" s="329"/>
      <c r="AA60" s="428"/>
      <c r="AB60" s="392"/>
      <c r="AC60" s="302"/>
      <c r="AD60" s="302"/>
      <c r="AE60" s="302"/>
      <c r="AF60" s="303"/>
      <c r="AG60" s="303"/>
      <c r="AH60" s="303"/>
      <c r="AI60" s="304"/>
      <c r="AJ60" s="303"/>
      <c r="AK60" s="304"/>
      <c r="AL60" s="85"/>
      <c r="AM60" s="85"/>
      <c r="AN60" s="85"/>
      <c r="AO60" s="85"/>
      <c r="AP60" s="85"/>
      <c r="AQ60" s="85"/>
    </row>
    <row r="61" customFormat="false" ht="15.95" hidden="false" customHeight="true" outlineLevel="0" collapsed="false">
      <c r="A61" s="5"/>
      <c r="B61" s="85"/>
      <c r="C61" s="85"/>
      <c r="D61" s="85"/>
      <c r="E61" s="85"/>
      <c r="F61" s="85"/>
      <c r="G61" s="85"/>
      <c r="H61" s="85"/>
      <c r="I61" s="85"/>
      <c r="J61" s="85"/>
      <c r="K61" s="85" t="s">
        <v>90</v>
      </c>
      <c r="L61" s="85">
        <f aca="false">J37+L37</f>
      </c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131"/>
      <c r="AJ61" s="85"/>
      <c r="AK61" s="131"/>
      <c r="AL61" s="85"/>
      <c r="AM61" s="85"/>
      <c r="AN61" s="85"/>
      <c r="AO61" s="85"/>
      <c r="AP61" s="85"/>
      <c r="AQ61" s="85"/>
    </row>
    <row r="62" customFormat="false" ht="15.95" hidden="false" customHeight="true" outlineLevel="0" collapsed="false">
      <c r="A62" s="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131"/>
      <c r="AJ62" s="85"/>
      <c r="AK62" s="131"/>
      <c r="AL62" s="85"/>
      <c r="AM62" s="85"/>
      <c r="AN62" s="85"/>
      <c r="AO62" s="85"/>
      <c r="AP62" s="85"/>
      <c r="AQ62" s="85"/>
    </row>
    <row r="63" customFormat="false" ht="15.95" hidden="false" customHeight="true" outlineLevel="0" collapsed="false">
      <c r="A63" s="5"/>
      <c r="B63" s="85"/>
      <c r="C63" s="85"/>
      <c r="D63" s="85"/>
      <c r="E63" s="85"/>
      <c r="F63" s="85"/>
      <c r="G63" s="85"/>
      <c r="H63" s="85"/>
      <c r="I63" s="85"/>
      <c r="J63" s="85"/>
      <c r="K63" s="85" t="s">
        <v>91</v>
      </c>
      <c r="L63" s="85">
        <f aca="false">N37/L61*J37+J37</f>
      </c>
      <c r="M63" s="102">
        <f aca="false">L63/P37</f>
      </c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131"/>
      <c r="AJ63" s="85"/>
      <c r="AK63" s="131"/>
      <c r="AL63" s="85"/>
      <c r="AM63" s="85"/>
      <c r="AN63" s="85"/>
      <c r="AO63" s="85"/>
      <c r="AP63" s="85"/>
      <c r="AQ63" s="85"/>
    </row>
    <row r="64" customFormat="false" ht="15.95" hidden="false" customHeight="true" outlineLevel="0" collapsed="false">
      <c r="A64" s="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131"/>
      <c r="AJ64" s="85"/>
      <c r="AK64" s="131"/>
      <c r="AL64" s="85"/>
      <c r="AM64" s="85"/>
      <c r="AN64" s="85"/>
      <c r="AO64" s="85"/>
      <c r="AP64" s="85"/>
      <c r="AQ64" s="85"/>
    </row>
    <row r="65" customFormat="false" ht="15.95" hidden="false" customHeight="true" outlineLevel="0" collapsed="false">
      <c r="A65" s="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>
        <f aca="false">+P65*1.5</f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131"/>
      <c r="AJ65" s="85"/>
      <c r="AK65" s="131"/>
      <c r="AL65" s="85"/>
      <c r="AM65" s="85"/>
      <c r="AN65" s="85"/>
      <c r="AO65" s="85"/>
      <c r="AP65" s="85"/>
      <c r="AQ65" s="85"/>
    </row>
    <row r="66" customFormat="false" ht="15.95" hidden="false" customHeight="true" outlineLevel="0" collapsed="false">
      <c r="A66" s="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>
        <f aca="false">+N37</f>
      </c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131"/>
      <c r="AJ66" s="85"/>
      <c r="AK66" s="131"/>
      <c r="AL66" s="85"/>
      <c r="AM66" s="85"/>
      <c r="AN66" s="85"/>
      <c r="AO66" s="85"/>
      <c r="AP66" s="85"/>
      <c r="AQ66" s="85"/>
    </row>
    <row r="67" customFormat="false" ht="15.95" hidden="false" customHeight="true" outlineLevel="0" collapsed="false">
      <c r="A67" s="5"/>
      <c r="B67" s="85"/>
      <c r="C67" s="85"/>
      <c r="D67" s="85"/>
      <c r="E67" s="85"/>
      <c r="F67" s="85"/>
      <c r="G67" s="85"/>
      <c r="H67" s="85"/>
      <c r="I67" s="85"/>
      <c r="J67" s="85"/>
      <c r="K67" s="85">
        <f aca="false">+J37</f>
      </c>
      <c r="L67" s="85">
        <f aca="false">+L66*K67/K69</f>
      </c>
      <c r="M67" s="85">
        <f aca="false">+K67+L67</f>
      </c>
      <c r="N67" s="85">
        <f aca="false">+M67/M69</f>
      </c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131"/>
      <c r="AJ67" s="85"/>
      <c r="AK67" s="131"/>
      <c r="AL67" s="85"/>
      <c r="AM67" s="85"/>
      <c r="AN67" s="85"/>
      <c r="AO67" s="85"/>
      <c r="AP67" s="85"/>
      <c r="AQ67" s="85"/>
    </row>
    <row r="68" customFormat="false" ht="15.95" hidden="false" customHeight="true" outlineLevel="0" collapsed="false">
      <c r="A68" s="5"/>
      <c r="B68" s="85"/>
      <c r="C68" s="85"/>
      <c r="D68" s="85"/>
      <c r="E68" s="85"/>
      <c r="F68" s="85"/>
      <c r="G68" s="85"/>
      <c r="H68" s="85"/>
      <c r="I68" s="85"/>
      <c r="J68" s="85"/>
      <c r="K68" s="85">
        <f aca="false">+L37</f>
      </c>
      <c r="L68" s="85">
        <f aca="false">+L66*K68/K69</f>
      </c>
      <c r="M68" s="85">
        <f aca="false">+K68+L68</f>
      </c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131"/>
      <c r="AJ68" s="85"/>
      <c r="AK68" s="131"/>
      <c r="AL68" s="85"/>
      <c r="AM68" s="85"/>
      <c r="AN68" s="85"/>
      <c r="AO68" s="85"/>
      <c r="AP68" s="85"/>
      <c r="AQ68" s="85"/>
    </row>
    <row r="69" customFormat="false" ht="15.95" hidden="false" customHeight="true" outlineLevel="0" collapsed="false">
      <c r="A69" s="5"/>
      <c r="B69" s="85"/>
      <c r="C69" s="85"/>
      <c r="D69" s="85"/>
      <c r="E69" s="85"/>
      <c r="F69" s="85"/>
      <c r="G69" s="85"/>
      <c r="H69" s="85"/>
      <c r="I69" s="85"/>
      <c r="J69" s="85"/>
      <c r="K69" s="85">
        <f aca="false">SUM(K67:K68)</f>
      </c>
      <c r="L69" s="85"/>
      <c r="M69" s="85">
        <f aca="false">SUM(M67:M68)</f>
      </c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131"/>
      <c r="AJ69" s="85"/>
      <c r="AK69" s="131"/>
      <c r="AL69" s="85"/>
      <c r="AM69" s="85"/>
      <c r="AN69" s="85"/>
      <c r="AO69" s="85"/>
      <c r="AP69" s="85"/>
      <c r="AQ69" s="85"/>
    </row>
    <row r="70" customFormat="false" ht="15.95" hidden="false" customHeight="true" outlineLevel="0" collapsed="false">
      <c r="A70" s="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131"/>
      <c r="AJ70" s="85"/>
      <c r="AK70" s="131"/>
      <c r="AL70" s="85"/>
      <c r="AM70" s="85"/>
      <c r="AN70" s="85"/>
      <c r="AO70" s="85"/>
      <c r="AP70" s="85"/>
      <c r="AQ70" s="85"/>
    </row>
    <row r="71" customFormat="false" ht="15.95" hidden="false" customHeight="true" outlineLevel="0" collapsed="false">
      <c r="A71" s="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131"/>
      <c r="AJ71" s="85"/>
      <c r="AK71" s="131"/>
      <c r="AL71" s="85"/>
      <c r="AM71" s="85"/>
      <c r="AN71" s="85"/>
      <c r="AO71" s="85"/>
      <c r="AP71" s="85"/>
      <c r="AQ71" s="85"/>
    </row>
    <row r="72" customFormat="false" ht="15.95" hidden="false" customHeight="true" outlineLevel="0" collapsed="false">
      <c r="A72" s="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131"/>
      <c r="AJ72" s="85"/>
      <c r="AK72" s="131"/>
      <c r="AL72" s="85"/>
      <c r="AM72" s="85"/>
      <c r="AN72" s="85"/>
      <c r="AO72" s="85"/>
      <c r="AP72" s="85"/>
      <c r="AQ72" s="85"/>
    </row>
    <row r="73" customFormat="false" ht="15.95" hidden="false" customHeight="true" outlineLevel="0" collapsed="false">
      <c r="A73" s="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131"/>
      <c r="AJ73" s="85"/>
      <c r="AK73" s="131"/>
      <c r="AL73" s="85"/>
      <c r="AM73" s="85"/>
      <c r="AN73" s="85"/>
      <c r="AO73" s="85"/>
      <c r="AP73" s="85"/>
      <c r="AQ73" s="85"/>
    </row>
    <row r="74" customFormat="false" ht="15.95" hidden="false" customHeight="true" outlineLevel="0" collapsed="false">
      <c r="A74" s="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131"/>
      <c r="AJ74" s="85"/>
      <c r="AK74" s="131"/>
      <c r="AL74" s="85"/>
      <c r="AM74" s="85"/>
      <c r="AN74" s="85"/>
      <c r="AO74" s="85"/>
      <c r="AP74" s="85"/>
      <c r="AQ74" s="85"/>
    </row>
    <row r="75" customFormat="false" ht="15.95" hidden="false" customHeight="true" outlineLevel="0" collapsed="false">
      <c r="A75" s="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131"/>
      <c r="AJ75" s="85"/>
      <c r="AK75" s="131"/>
      <c r="AL75" s="85"/>
      <c r="AM75" s="85"/>
      <c r="AN75" s="85"/>
      <c r="AO75" s="85"/>
      <c r="AP75" s="85"/>
      <c r="AQ75" s="85"/>
    </row>
    <row r="76" customFormat="false" ht="15.95" hidden="false" customHeight="true" outlineLevel="0" collapsed="false">
      <c r="A76" s="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131"/>
      <c r="AJ76" s="85"/>
      <c r="AK76" s="131"/>
      <c r="AL76" s="85"/>
      <c r="AM76" s="85"/>
      <c r="AN76" s="85"/>
      <c r="AO76" s="85"/>
      <c r="AP76" s="85"/>
      <c r="AQ76" s="85"/>
    </row>
    <row r="77" customFormat="false" ht="15.95" hidden="false" customHeight="true" outlineLevel="0" collapsed="false">
      <c r="A77" s="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131"/>
      <c r="AJ77" s="85"/>
      <c r="AK77" s="131"/>
      <c r="AL77" s="85"/>
      <c r="AM77" s="85"/>
      <c r="AN77" s="85"/>
      <c r="AO77" s="85"/>
      <c r="AP77" s="85"/>
      <c r="AQ77" s="85"/>
    </row>
    <row r="78" customFormat="false" ht="15.95" hidden="false" customHeight="true" outlineLevel="0" collapsed="false">
      <c r="A78" s="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131"/>
      <c r="AJ78" s="85"/>
      <c r="AK78" s="131"/>
      <c r="AL78" s="85"/>
      <c r="AM78" s="85"/>
      <c r="AN78" s="85"/>
      <c r="AO78" s="85"/>
      <c r="AP78" s="85"/>
      <c r="AQ78" s="85"/>
    </row>
    <row r="79" customFormat="false" ht="15.95" hidden="false" customHeight="true" outlineLevel="0" collapsed="false">
      <c r="A79" s="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131"/>
      <c r="AJ79" s="85"/>
      <c r="AK79" s="131"/>
      <c r="AL79" s="85"/>
      <c r="AM79" s="85"/>
      <c r="AN79" s="85"/>
      <c r="AO79" s="85"/>
      <c r="AP79" s="85"/>
      <c r="AQ79" s="85"/>
    </row>
    <row r="80" customFormat="false" ht="15.95" hidden="false" customHeight="true" outlineLevel="0" collapsed="false">
      <c r="A80" s="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131"/>
      <c r="AJ80" s="85"/>
      <c r="AK80" s="131"/>
      <c r="AL80" s="85"/>
      <c r="AM80" s="85"/>
      <c r="AN80" s="85"/>
      <c r="AO80" s="85"/>
      <c r="AP80" s="85"/>
      <c r="AQ80" s="85"/>
    </row>
    <row r="81" customFormat="false" ht="15.95" hidden="false" customHeight="true" outlineLevel="0" collapsed="false">
      <c r="A81" s="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131"/>
      <c r="AJ81" s="85"/>
      <c r="AK81" s="131"/>
      <c r="AL81" s="85"/>
      <c r="AM81" s="85"/>
      <c r="AN81" s="85"/>
      <c r="AO81" s="85"/>
      <c r="AP81" s="85"/>
      <c r="AQ81" s="85"/>
    </row>
    <row r="82" customFormat="false" ht="15.95" hidden="false" customHeight="true" outlineLevel="0" collapsed="false">
      <c r="A82" s="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131"/>
      <c r="AJ82" s="85"/>
      <c r="AK82" s="131"/>
      <c r="AL82" s="85"/>
      <c r="AM82" s="85"/>
      <c r="AN82" s="85"/>
      <c r="AO82" s="85"/>
      <c r="AP82" s="85"/>
    </row>
    <row r="83" customFormat="false" ht="15.95" hidden="false" customHeight="true" outlineLevel="0" collapsed="false"/>
    <row r="84" customFormat="false" ht="15.95" hidden="false" customHeight="true" outlineLevel="0" collapsed="false"/>
    <row r="85" customFormat="false" ht="15.95" hidden="false" customHeight="true" outlineLevel="0" collapsed="false"/>
    <row r="86" customFormat="false" ht="15.95" hidden="false" customHeight="true" outlineLevel="0" collapsed="false"/>
    <row r="87" s="1" customFormat="true" ht="15.95" hidden="false" customHeight="true" outlineLevel="0" collapsed="false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3"/>
      <c r="AJ87" s="2"/>
      <c r="AK87" s="3"/>
      <c r="AL87" s="2"/>
      <c r="AM87" s="2"/>
      <c r="AN87" s="2"/>
      <c r="AO87" s="2"/>
      <c r="AP87" s="2"/>
      <c r="AQ87" s="2"/>
      <c r="AR87" s="2"/>
    </row>
    <row r="88" s="1" customFormat="true" ht="15.95" hidden="false" customHeight="true" outlineLevel="0" collapsed="false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3"/>
      <c r="AJ88" s="2"/>
      <c r="AK88" s="3"/>
      <c r="AL88" s="2"/>
      <c r="AM88" s="2"/>
      <c r="AN88" s="2"/>
      <c r="AO88" s="2"/>
      <c r="AP88" s="2"/>
      <c r="AQ88" s="2"/>
      <c r="AR88" s="2"/>
    </row>
    <row r="89" s="1" customFormat="true" ht="15.95" hidden="false" customHeight="true" outlineLevel="0" collapsed="false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3"/>
      <c r="AJ89" s="2"/>
      <c r="AK89" s="3"/>
      <c r="AL89" s="2"/>
      <c r="AM89" s="2"/>
      <c r="AN89" s="2"/>
      <c r="AO89" s="2"/>
      <c r="AP89" s="2"/>
      <c r="AQ89" s="2"/>
      <c r="AR89" s="2"/>
    </row>
  </sheetData>
  <mergeCells count="75">
    <mergeCell ref="B2:C2"/>
    <mergeCell ref="B3:C3"/>
    <mergeCell ref="C6:G6"/>
    <mergeCell ref="C7:F7"/>
    <mergeCell ref="I7:I8"/>
    <mergeCell ref="J7:K7"/>
    <mergeCell ref="L7:M7"/>
    <mergeCell ref="N7:O7"/>
    <mergeCell ref="P7:Q7"/>
    <mergeCell ref="R7:T7"/>
    <mergeCell ref="U7:W7"/>
    <mergeCell ref="X7:X8"/>
    <mergeCell ref="Y7:Y8"/>
    <mergeCell ref="Z7:Z8"/>
    <mergeCell ref="AA7:AA8"/>
    <mergeCell ref="AB7:AD8"/>
    <mergeCell ref="AE7:AE8"/>
    <mergeCell ref="D8:F8"/>
    <mergeCell ref="C9:C15"/>
    <mergeCell ref="AB9:AD9"/>
    <mergeCell ref="AB13:AD13"/>
    <mergeCell ref="D16:G16"/>
    <mergeCell ref="D18:G18"/>
    <mergeCell ref="D19:F19"/>
    <mergeCell ref="AB25:AD25"/>
    <mergeCell ref="AB26:AD26"/>
    <mergeCell ref="AB27:AD27"/>
    <mergeCell ref="AB28:AD28"/>
    <mergeCell ref="AB29:AD29"/>
    <mergeCell ref="AB30:AD30"/>
    <mergeCell ref="E31:F31"/>
    <mergeCell ref="AB31:AD31"/>
    <mergeCell ref="E32:F32"/>
    <mergeCell ref="AB32:AD32"/>
    <mergeCell ref="AB33:AD33"/>
    <mergeCell ref="AB34:AD34"/>
    <mergeCell ref="AB35:AD35"/>
    <mergeCell ref="AB36:AD36"/>
    <mergeCell ref="AB37:AD38"/>
    <mergeCell ref="C41:D41"/>
    <mergeCell ref="E41:F41"/>
    <mergeCell ref="G41:H41"/>
    <mergeCell ref="I41:J41"/>
    <mergeCell ref="N41:P41"/>
    <mergeCell ref="U41:V41"/>
    <mergeCell ref="X41:Y41"/>
    <mergeCell ref="B46:F46"/>
    <mergeCell ref="B47:B48"/>
    <mergeCell ref="C47:C48"/>
    <mergeCell ref="D47:D48"/>
    <mergeCell ref="E47:E48"/>
    <mergeCell ref="F47:G47"/>
    <mergeCell ref="H47:I48"/>
    <mergeCell ref="J47:O47"/>
    <mergeCell ref="P47:Q47"/>
    <mergeCell ref="Y47:Z48"/>
    <mergeCell ref="AA47:AA48"/>
    <mergeCell ref="AB47:AC48"/>
    <mergeCell ref="AD47:AD48"/>
    <mergeCell ref="F48:G48"/>
    <mergeCell ref="J48:O48"/>
    <mergeCell ref="P48:Q48"/>
    <mergeCell ref="S48:T48"/>
    <mergeCell ref="U48:V48"/>
    <mergeCell ref="J49:O49"/>
    <mergeCell ref="J50:O50"/>
    <mergeCell ref="J51:O51"/>
    <mergeCell ref="J52:O52"/>
    <mergeCell ref="J53:O53"/>
    <mergeCell ref="J54:O54"/>
    <mergeCell ref="J55:O55"/>
    <mergeCell ref="J56:O56"/>
    <mergeCell ref="J57:O57"/>
    <mergeCell ref="J58:O58"/>
    <mergeCell ref="J59:O59"/>
  </mergeCells>
  <printOptions headings="false" gridLines="false" gridLinesSet="true" horizontalCentered="true" verticalCentered="false"/>
  <pageMargins left="0.747916666666667" right="0.747916666666667" top="0.590277777777778" bottom="0.590277777777778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true"/>
  </sheetPr>
  <dimension ref="A1:AT89"/>
  <sheetViews>
    <sheetView showFormulas="false" showGridLines="false" showRowColHeaders="true" showZeros="true" rightToLeft="false" tabSelected="false" showOutlineSymbols="true" defaultGridColor="true" view="pageBreakPreview" topLeftCell="C17" colorId="64" zoomScale="100" zoomScaleNormal="130" zoomScalePageLayoutView="100" workbookViewId="0">
      <selection pane="topLeft" activeCell="N27" activeCellId="0" sqref="N27"/>
    </sheetView>
  </sheetViews>
  <sheetFormatPr defaultColWidth="8.8828125" defaultRowHeight="13.5" zeroHeight="false" outlineLevelRow="0" outlineLevelCol="0"/>
  <cols>
    <col collapsed="false" customWidth="true" hidden="false" outlineLevel="0" max="1" min="1" style="1" width="3.77"/>
    <col collapsed="false" customWidth="true" hidden="false" outlineLevel="0" max="5" min="2" style="2" width="12.11"/>
    <col collapsed="false" customWidth="true" hidden="false" outlineLevel="0" max="6" min="6" style="2" width="13.77"/>
    <col collapsed="false" customWidth="true" hidden="false" outlineLevel="0" max="7" min="7" style="2" width="15.55"/>
    <col collapsed="false" customWidth="true" hidden="false" outlineLevel="0" max="9" min="8" style="2" width="12.11"/>
    <col collapsed="false" customWidth="true" hidden="false" outlineLevel="0" max="17" min="10" style="2" width="13.11"/>
    <col collapsed="false" customWidth="true" hidden="true" outlineLevel="0" max="27" min="18" style="2" width="12.11"/>
    <col collapsed="false" customWidth="true" hidden="false" outlineLevel="0" max="28" min="28" style="2" width="12.44"/>
    <col collapsed="false" customWidth="true" hidden="false" outlineLevel="0" max="29" min="29" style="2" width="8.44"/>
    <col collapsed="false" customWidth="true" hidden="false" outlineLevel="0" max="30" min="30" style="2" width="6.32"/>
    <col collapsed="false" customWidth="true" hidden="false" outlineLevel="0" max="31" min="31" style="2" width="3.33"/>
    <col collapsed="false" customWidth="true" hidden="false" outlineLevel="0" max="32" min="32" style="2" width="8.99"/>
    <col collapsed="false" customWidth="true" hidden="false" outlineLevel="0" max="33" min="33" style="2" width="7.88"/>
    <col collapsed="false" customWidth="true" hidden="false" outlineLevel="0" max="34" min="34" style="2" width="8.99"/>
    <col collapsed="false" customWidth="true" hidden="false" outlineLevel="0" max="35" min="35" style="3" width="7.88"/>
    <col collapsed="false" customWidth="true" hidden="false" outlineLevel="0" max="36" min="36" style="2" width="8.99"/>
    <col collapsed="false" customWidth="true" hidden="false" outlineLevel="0" max="37" min="37" style="3" width="6.1"/>
    <col collapsed="false" customWidth="true" hidden="false" outlineLevel="0" max="38" min="38" style="2" width="8.99"/>
    <col collapsed="false" customWidth="true" hidden="false" outlineLevel="0" max="41" min="39" style="2" width="5.21"/>
    <col collapsed="false" customWidth="true" hidden="false" outlineLevel="0" max="42" min="42" style="2" width="11.11"/>
    <col collapsed="false" customWidth="true" hidden="false" outlineLevel="0" max="43" min="43" style="2" width="2.32"/>
    <col collapsed="false" customWidth="true" hidden="false" outlineLevel="0" max="56" min="44" style="2" width="9.77"/>
    <col collapsed="false" customWidth="false" hidden="false" outlineLevel="0" max="257" min="57" style="2" width="8.88"/>
  </cols>
  <sheetData>
    <row r="1" customFormat="false" ht="24" hidden="false" customHeight="true" outlineLevel="0" collapsed="false">
      <c r="D1" s="3" t="s">
        <v>0</v>
      </c>
      <c r="E1" s="3" t="s">
        <v>1</v>
      </c>
    </row>
    <row r="2" customFormat="false" ht="24" hidden="false" customHeight="true" outlineLevel="0" collapsed="false">
      <c r="B2" s="4" t="s">
        <v>2</v>
      </c>
      <c r="C2" s="4"/>
      <c r="D2" s="2">
        <f aca="false">+E15*F24</f>
      </c>
      <c r="E2" s="2">
        <f aca="false">+D2*0.3025</f>
      </c>
      <c r="I2" s="2"/>
      <c r="U2" s="2"/>
    </row>
    <row r="3" customFormat="false" ht="24" hidden="false" customHeight="true" outlineLevel="0" collapsed="false">
      <c r="B3" s="4" t="s">
        <v>3</v>
      </c>
      <c r="C3" s="4"/>
      <c r="D3" s="2">
        <f aca="false">+E15*F25</f>
      </c>
      <c r="E3" s="2">
        <f aca="false">+D3*0.3025</f>
      </c>
      <c r="F3" s="2">
        <f aca="false">+D3*0.015</f>
      </c>
      <c r="G3" s="2">
        <f aca="false">+F3/12</f>
      </c>
      <c r="I3" s="2">
        <f aca="false">+D3/D2</f>
      </c>
      <c r="N3" s="2">
        <f aca="false">+E15/2</f>
      </c>
      <c r="P3" s="2">
        <f aca="false">+N3*0.6</f>
      </c>
      <c r="R3" s="2"/>
      <c r="S3" s="2">
        <f aca="false">+R3*0.3025</f>
      </c>
    </row>
    <row r="4" customFormat="false" ht="24" hidden="false" customHeight="true" outlineLevel="0" collapsed="false">
      <c r="D4" s="2">
        <f aca="false">+P29</f>
      </c>
      <c r="E4" s="2">
        <f aca="false">+D3-D4</f>
      </c>
      <c r="T4" s="2"/>
      <c r="U4" s="2"/>
      <c r="V4" s="2"/>
      <c r="W4" s="2">
        <f aca="false">+T4+U4</f>
      </c>
      <c r="X4" s="2">
        <f aca="false">+W4-V4</f>
      </c>
    </row>
    <row r="5" customFormat="false" ht="24" hidden="false" customHeight="true" outlineLevel="0" collapsed="false">
      <c r="A5" s="5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8" t="s">
        <v>4</v>
      </c>
      <c r="AE5" s="8"/>
      <c r="AF5" s="7"/>
      <c r="AG5" s="7"/>
      <c r="AH5" s="7"/>
      <c r="AI5" s="9"/>
      <c r="AJ5" s="7"/>
      <c r="AK5" s="9"/>
      <c r="AL5" s="85"/>
      <c r="AM5" s="85"/>
      <c r="AN5" s="85"/>
      <c r="AO5" s="85"/>
      <c r="AP5" s="85"/>
      <c r="AQ5" s="11"/>
      <c r="AR5" s="11"/>
    </row>
    <row r="6" customFormat="false" ht="24" hidden="false" customHeight="true" outlineLevel="0" collapsed="false">
      <c r="A6" s="12"/>
      <c r="B6" s="13" t="s">
        <v>5</v>
      </c>
      <c r="C6" s="14" t="s">
        <v>6</v>
      </c>
      <c r="D6" s="14"/>
      <c r="E6" s="14"/>
      <c r="F6" s="14"/>
      <c r="G6" s="14"/>
      <c r="H6" s="13"/>
      <c r="I6" s="13" t="s">
        <v>7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7"/>
      <c r="AB6" s="16"/>
      <c r="AC6" s="17"/>
      <c r="AD6" s="17" t="s">
        <v>8</v>
      </c>
      <c r="AE6" s="17"/>
      <c r="AF6" s="85"/>
      <c r="AG6" s="85"/>
      <c r="AH6" s="85"/>
      <c r="AI6" s="131"/>
      <c r="AJ6" s="85"/>
      <c r="AK6" s="131"/>
      <c r="AL6" s="19"/>
      <c r="AM6" s="19"/>
      <c r="AN6" s="19"/>
      <c r="AO6" s="19"/>
      <c r="AP6" s="20"/>
      <c r="AQ6" s="20"/>
      <c r="AR6" s="20"/>
    </row>
    <row r="7" customFormat="false" ht="24" hidden="false" customHeight="true" outlineLevel="0" collapsed="false">
      <c r="A7" s="12"/>
      <c r="B7" s="21" t="s">
        <v>9</v>
      </c>
      <c r="C7" s="22" t="s">
        <v>10</v>
      </c>
      <c r="D7" s="22"/>
      <c r="E7" s="22"/>
      <c r="F7" s="22"/>
      <c r="G7" s="23"/>
      <c r="H7" s="16"/>
      <c r="I7" s="24"/>
      <c r="J7" s="25" t="s">
        <v>11</v>
      </c>
      <c r="K7" s="25"/>
      <c r="L7" s="25" t="s">
        <v>12</v>
      </c>
      <c r="M7" s="25"/>
      <c r="N7" s="26" t="s">
        <v>13</v>
      </c>
      <c r="O7" s="26"/>
      <c r="P7" s="27" t="s">
        <v>14</v>
      </c>
      <c r="Q7" s="27"/>
      <c r="R7" s="28" t="s">
        <v>11</v>
      </c>
      <c r="S7" s="28"/>
      <c r="T7" s="28"/>
      <c r="U7" s="29" t="s">
        <v>15</v>
      </c>
      <c r="V7" s="29"/>
      <c r="W7" s="29"/>
      <c r="X7" s="30" t="s">
        <v>16</v>
      </c>
      <c r="Y7" s="31" t="s">
        <v>17</v>
      </c>
      <c r="Z7" s="32" t="s">
        <v>18</v>
      </c>
      <c r="AA7" s="33" t="s">
        <v>19</v>
      </c>
      <c r="AB7" s="34" t="s">
        <v>20</v>
      </c>
      <c r="AC7" s="34"/>
      <c r="AD7" s="34"/>
      <c r="AE7" s="35"/>
      <c r="AF7" s="85"/>
      <c r="AG7" s="85"/>
      <c r="AH7" s="85"/>
      <c r="AI7" s="131"/>
      <c r="AJ7" s="85"/>
      <c r="AK7" s="131"/>
      <c r="AL7" s="36"/>
      <c r="AM7" s="36"/>
      <c r="AN7" s="36"/>
      <c r="AO7" s="36"/>
      <c r="AP7" s="20"/>
      <c r="AQ7" s="20"/>
      <c r="AR7" s="20"/>
    </row>
    <row r="8" customFormat="false" ht="24" hidden="false" customHeight="true" outlineLevel="0" collapsed="false">
      <c r="A8" s="37"/>
      <c r="B8" s="38" t="s">
        <v>21</v>
      </c>
      <c r="C8" s="39" t="s">
        <v>22</v>
      </c>
      <c r="D8" s="40" t="s">
        <v>92</v>
      </c>
      <c r="E8" s="40"/>
      <c r="F8" s="40"/>
      <c r="G8" s="41"/>
      <c r="H8" s="16"/>
      <c r="I8" s="24"/>
      <c r="J8" s="42" t="s">
        <v>23</v>
      </c>
      <c r="K8" s="43" t="s">
        <v>24</v>
      </c>
      <c r="L8" s="42" t="s">
        <v>23</v>
      </c>
      <c r="M8" s="43" t="s">
        <v>24</v>
      </c>
      <c r="N8" s="44" t="s">
        <v>23</v>
      </c>
      <c r="O8" s="44" t="s">
        <v>24</v>
      </c>
      <c r="P8" s="44" t="s">
        <v>23</v>
      </c>
      <c r="Q8" s="45" t="s">
        <v>24</v>
      </c>
      <c r="R8" s="46" t="s">
        <v>25</v>
      </c>
      <c r="S8" s="47" t="s">
        <v>13</v>
      </c>
      <c r="T8" s="48" t="s">
        <v>14</v>
      </c>
      <c r="U8" s="49" t="s">
        <v>25</v>
      </c>
      <c r="V8" s="47" t="s">
        <v>13</v>
      </c>
      <c r="W8" s="50" t="s">
        <v>14</v>
      </c>
      <c r="X8" s="30"/>
      <c r="Y8" s="31"/>
      <c r="Z8" s="32"/>
      <c r="AA8" s="33"/>
      <c r="AB8" s="34"/>
      <c r="AC8" s="34"/>
      <c r="AD8" s="34"/>
      <c r="AE8" s="35"/>
      <c r="AF8" s="85"/>
      <c r="AG8" s="85"/>
      <c r="AH8" s="85"/>
      <c r="AI8" s="131"/>
      <c r="AJ8" s="85"/>
      <c r="AK8" s="131"/>
      <c r="AL8" s="36"/>
      <c r="AM8" s="36"/>
      <c r="AN8" s="36"/>
      <c r="AO8" s="36"/>
      <c r="AP8" s="20"/>
      <c r="AQ8" s="20"/>
      <c r="AR8" s="20"/>
    </row>
    <row r="9" customFormat="false" ht="24" hidden="false" customHeight="true" outlineLevel="0" collapsed="false">
      <c r="A9" s="12"/>
      <c r="B9" s="259"/>
      <c r="C9" s="52" t="s">
        <v>26</v>
      </c>
      <c r="D9" s="82">
        <f aca="false">+토지내역!B3</f>
      </c>
      <c r="E9" s="54">
        <f aca="false">+토지내역!C3</f>
      </c>
      <c r="F9" s="55">
        <f aca="false">E9*0.3025</f>
      </c>
      <c r="G9" s="56"/>
      <c r="H9" s="16"/>
      <c r="I9" s="57"/>
      <c r="J9" s="58"/>
      <c r="K9" s="59"/>
      <c r="L9" s="58"/>
      <c r="M9" s="59"/>
      <c r="N9" s="59"/>
      <c r="O9" s="60"/>
      <c r="P9" s="61"/>
      <c r="Q9" s="62"/>
      <c r="R9" s="63"/>
      <c r="S9" s="64"/>
      <c r="T9" s="65"/>
      <c r="U9" s="66"/>
      <c r="V9" s="67"/>
      <c r="W9" s="68"/>
      <c r="X9" s="66"/>
      <c r="Y9" s="67"/>
      <c r="Z9" s="68"/>
      <c r="AA9" s="69"/>
      <c r="AB9" s="432"/>
      <c r="AC9" s="432"/>
      <c r="AD9" s="432"/>
      <c r="AE9" s="71"/>
      <c r="AF9" s="85"/>
      <c r="AG9" s="85"/>
      <c r="AH9" s="85"/>
      <c r="AI9" s="131"/>
      <c r="AJ9" s="85"/>
      <c r="AK9" s="131"/>
      <c r="AL9" s="36"/>
      <c r="AM9" s="36"/>
      <c r="AN9" s="36"/>
      <c r="AO9" s="36"/>
      <c r="AP9" s="72"/>
      <c r="AQ9" s="73"/>
      <c r="AR9" s="73"/>
    </row>
    <row r="10" customFormat="false" ht="24" hidden="false" customHeight="true" outlineLevel="0" collapsed="false">
      <c r="A10" s="12"/>
      <c r="B10" s="259"/>
      <c r="C10" s="52"/>
      <c r="D10" s="82">
        <f aca="false">+토지내역!B4</f>
      </c>
      <c r="E10" s="54">
        <f aca="false">+토지내역!C4</f>
      </c>
      <c r="F10" s="55">
        <f aca="false">E10*0.3025</f>
      </c>
      <c r="G10" s="56"/>
      <c r="H10" s="16"/>
      <c r="I10" s="57"/>
      <c r="J10" s="74"/>
      <c r="K10" s="75"/>
      <c r="L10" s="74"/>
      <c r="M10" s="75"/>
      <c r="N10" s="75"/>
      <c r="O10" s="60"/>
      <c r="P10" s="61"/>
      <c r="Q10" s="62"/>
      <c r="R10" s="59"/>
      <c r="S10" s="64"/>
      <c r="T10" s="76"/>
      <c r="U10" s="74"/>
      <c r="V10" s="77"/>
      <c r="W10" s="78"/>
      <c r="X10" s="58"/>
      <c r="Y10" s="64"/>
      <c r="Z10" s="79"/>
      <c r="AA10" s="80"/>
      <c r="AB10" s="81"/>
      <c r="AC10" s="81"/>
      <c r="AD10" s="81"/>
      <c r="AE10" s="71"/>
      <c r="AF10" s="85"/>
      <c r="AG10" s="85"/>
      <c r="AH10" s="85"/>
      <c r="AI10" s="131"/>
      <c r="AJ10" s="85"/>
      <c r="AK10" s="131"/>
      <c r="AL10" s="36"/>
      <c r="AM10" s="36"/>
      <c r="AN10" s="36"/>
      <c r="AO10" s="36"/>
      <c r="AP10" s="72"/>
      <c r="AQ10" s="73"/>
      <c r="AR10" s="73"/>
    </row>
    <row r="11" customFormat="false" ht="24" hidden="false" customHeight="true" outlineLevel="0" collapsed="false">
      <c r="A11" s="12"/>
      <c r="B11" s="259"/>
      <c r="C11" s="52"/>
      <c r="D11" s="82">
        <f aca="false">+토지내역!B5</f>
      </c>
      <c r="E11" s="54">
        <f aca="false">+토지내역!C5</f>
      </c>
      <c r="F11" s="55">
        <f aca="false">E11*0.3025</f>
      </c>
      <c r="G11" s="56"/>
      <c r="H11" s="16"/>
      <c r="I11" s="57"/>
      <c r="J11" s="74"/>
      <c r="K11" s="75"/>
      <c r="L11" s="74"/>
      <c r="M11" s="75"/>
      <c r="N11" s="75"/>
      <c r="O11" s="60"/>
      <c r="P11" s="61"/>
      <c r="Q11" s="62"/>
      <c r="R11" s="59"/>
      <c r="S11" s="64"/>
      <c r="T11" s="76"/>
      <c r="U11" s="74"/>
      <c r="V11" s="77"/>
      <c r="W11" s="78"/>
      <c r="X11" s="58"/>
      <c r="Y11" s="64"/>
      <c r="Z11" s="79"/>
      <c r="AA11" s="80"/>
      <c r="AB11" s="81"/>
      <c r="AC11" s="81"/>
      <c r="AD11" s="81"/>
      <c r="AE11" s="71"/>
      <c r="AF11" s="85"/>
      <c r="AG11" s="85"/>
      <c r="AH11" s="85"/>
      <c r="AI11" s="131"/>
      <c r="AJ11" s="85"/>
      <c r="AK11" s="131"/>
      <c r="AL11" s="36"/>
      <c r="AM11" s="36"/>
      <c r="AN11" s="36"/>
      <c r="AO11" s="36"/>
      <c r="AP11" s="72"/>
      <c r="AQ11" s="73"/>
      <c r="AR11" s="73"/>
    </row>
    <row r="12" customFormat="false" ht="24" hidden="false" customHeight="true" outlineLevel="0" collapsed="false">
      <c r="A12" s="12"/>
      <c r="B12" s="259"/>
      <c r="C12" s="52"/>
      <c r="D12" s="82">
        <f aca="false">+토지내역!B6</f>
      </c>
      <c r="E12" s="54">
        <f aca="false">+토지내역!C6</f>
      </c>
      <c r="F12" s="55">
        <f aca="false">E12*0.3025</f>
      </c>
      <c r="G12" s="56"/>
      <c r="H12" s="16"/>
      <c r="I12" s="57"/>
      <c r="J12" s="74"/>
      <c r="K12" s="75"/>
      <c r="L12" s="74"/>
      <c r="M12" s="75"/>
      <c r="N12" s="75"/>
      <c r="O12" s="60"/>
      <c r="P12" s="61"/>
      <c r="Q12" s="62"/>
      <c r="R12" s="59"/>
      <c r="S12" s="64"/>
      <c r="T12" s="76"/>
      <c r="U12" s="74"/>
      <c r="V12" s="77"/>
      <c r="W12" s="78"/>
      <c r="X12" s="58"/>
      <c r="Y12" s="64"/>
      <c r="Z12" s="79"/>
      <c r="AA12" s="80"/>
      <c r="AB12" s="81"/>
      <c r="AC12" s="81"/>
      <c r="AD12" s="81"/>
      <c r="AE12" s="71"/>
      <c r="AF12" s="85"/>
      <c r="AG12" s="85"/>
      <c r="AH12" s="85"/>
      <c r="AI12" s="131"/>
      <c r="AJ12" s="85"/>
      <c r="AK12" s="131"/>
      <c r="AL12" s="36"/>
      <c r="AM12" s="36"/>
      <c r="AN12" s="36"/>
      <c r="AO12" s="36"/>
      <c r="AP12" s="72"/>
      <c r="AQ12" s="73"/>
      <c r="AR12" s="73"/>
    </row>
    <row r="13" customFormat="false" ht="24" hidden="false" customHeight="true" outlineLevel="0" collapsed="false">
      <c r="A13" s="12"/>
      <c r="B13" s="259"/>
      <c r="C13" s="52"/>
      <c r="D13" s="82" t="s">
        <v>27</v>
      </c>
      <c r="E13" s="54">
        <f aca="false">+토지내역!C28</f>
      </c>
      <c r="F13" s="55">
        <f aca="false">E13*0.3025</f>
      </c>
      <c r="G13" s="56"/>
      <c r="H13" s="16"/>
      <c r="I13" s="57"/>
      <c r="J13" s="74"/>
      <c r="K13" s="75"/>
      <c r="L13" s="74"/>
      <c r="M13" s="75"/>
      <c r="N13" s="75"/>
      <c r="O13" s="60"/>
      <c r="P13" s="61"/>
      <c r="Q13" s="62"/>
      <c r="R13" s="75"/>
      <c r="S13" s="77"/>
      <c r="T13" s="76"/>
      <c r="U13" s="74"/>
      <c r="V13" s="77"/>
      <c r="W13" s="78"/>
      <c r="X13" s="58"/>
      <c r="Y13" s="64"/>
      <c r="Z13" s="79"/>
      <c r="AA13" s="80"/>
      <c r="AB13" s="83"/>
      <c r="AC13" s="83"/>
      <c r="AD13" s="83"/>
      <c r="AE13" s="84"/>
      <c r="AF13" s="85"/>
      <c r="AG13" s="85"/>
      <c r="AH13" s="85"/>
      <c r="AI13" s="131"/>
      <c r="AJ13" s="85"/>
      <c r="AK13" s="131"/>
      <c r="AL13" s="36"/>
      <c r="AM13" s="36"/>
      <c r="AN13" s="36"/>
      <c r="AO13" s="36"/>
      <c r="AP13" s="20"/>
      <c r="AQ13" s="86"/>
      <c r="AR13" s="86"/>
    </row>
    <row r="14" customFormat="false" ht="24" hidden="false" customHeight="true" outlineLevel="0" collapsed="false">
      <c r="A14" s="12"/>
      <c r="B14" s="259"/>
      <c r="C14" s="52"/>
      <c r="D14" s="82" t="s">
        <v>27</v>
      </c>
      <c r="E14" s="54">
        <f aca="false">+토지내역!C26</f>
      </c>
      <c r="F14" s="55">
        <f aca="false">E14*0.3025</f>
      </c>
      <c r="G14" s="56"/>
      <c r="H14" s="16"/>
      <c r="I14" s="57"/>
      <c r="J14" s="87"/>
      <c r="K14" s="88"/>
      <c r="L14" s="87"/>
      <c r="M14" s="88"/>
      <c r="N14" s="88"/>
      <c r="O14" s="89"/>
      <c r="P14" s="90"/>
      <c r="Q14" s="91"/>
      <c r="R14" s="75"/>
      <c r="S14" s="77"/>
      <c r="T14" s="92"/>
      <c r="U14" s="74"/>
      <c r="V14" s="93"/>
      <c r="W14" s="94"/>
      <c r="X14" s="74"/>
      <c r="Y14" s="77"/>
      <c r="Z14" s="78"/>
      <c r="AA14" s="95"/>
      <c r="AB14" s="96"/>
      <c r="AC14" s="97"/>
      <c r="AD14" s="97"/>
      <c r="AE14" s="71"/>
      <c r="AF14" s="85"/>
      <c r="AG14" s="85"/>
      <c r="AH14" s="85"/>
      <c r="AI14" s="131"/>
      <c r="AJ14" s="85"/>
      <c r="AK14" s="131"/>
      <c r="AL14" s="98"/>
      <c r="AM14" s="98"/>
      <c r="AN14" s="98"/>
      <c r="AO14" s="98"/>
      <c r="AP14" s="99"/>
      <c r="AQ14" s="85"/>
    </row>
    <row r="15" customFormat="false" ht="24" hidden="false" customHeight="true" outlineLevel="0" collapsed="false">
      <c r="A15" s="12"/>
      <c r="B15" s="259"/>
      <c r="C15" s="52"/>
      <c r="D15" s="82" t="s">
        <v>19</v>
      </c>
      <c r="E15" s="54">
        <f aca="false">+E9+E10-E13-E14</f>
      </c>
      <c r="F15" s="55">
        <f aca="false">E15*0.3025</f>
      </c>
      <c r="G15" s="56"/>
      <c r="H15" s="16"/>
      <c r="I15" s="57"/>
      <c r="J15" s="87"/>
      <c r="K15" s="88"/>
      <c r="L15" s="87"/>
      <c r="M15" s="88"/>
      <c r="N15" s="88"/>
      <c r="O15" s="89"/>
      <c r="P15" s="90"/>
      <c r="Q15" s="91"/>
      <c r="R15" s="75"/>
      <c r="S15" s="77"/>
      <c r="T15" s="92"/>
      <c r="U15" s="74"/>
      <c r="V15" s="93"/>
      <c r="W15" s="94"/>
      <c r="X15" s="74"/>
      <c r="Y15" s="77"/>
      <c r="Z15" s="78"/>
      <c r="AA15" s="95"/>
      <c r="AB15" s="96"/>
      <c r="AC15" s="97"/>
      <c r="AD15" s="97"/>
      <c r="AE15" s="71"/>
      <c r="AF15" s="85"/>
      <c r="AG15" s="85"/>
      <c r="AH15" s="85"/>
      <c r="AI15" s="131"/>
      <c r="AJ15" s="85"/>
      <c r="AK15" s="131"/>
      <c r="AL15" s="98"/>
      <c r="AM15" s="98"/>
      <c r="AN15" s="98"/>
      <c r="AO15" s="98"/>
      <c r="AP15" s="99"/>
      <c r="AQ15" s="85"/>
    </row>
    <row r="16" customFormat="false" ht="24" hidden="false" customHeight="true" outlineLevel="0" collapsed="false">
      <c r="A16" s="12"/>
      <c r="B16" s="259"/>
      <c r="C16" s="100" t="s">
        <v>29</v>
      </c>
      <c r="D16" s="101" t="str">
        <f aca="false">+Sheet1!E4</f>
      </c>
      <c r="E16" s="101"/>
      <c r="F16" s="101"/>
      <c r="G16" s="101"/>
      <c r="H16" s="16"/>
      <c r="I16" s="57"/>
      <c r="J16" s="87"/>
      <c r="K16" s="88"/>
      <c r="L16" s="87"/>
      <c r="M16" s="88"/>
      <c r="N16" s="88"/>
      <c r="O16" s="89"/>
      <c r="P16" s="90"/>
      <c r="Q16" s="91"/>
      <c r="R16" s="75"/>
      <c r="S16" s="77"/>
      <c r="T16" s="92"/>
      <c r="U16" s="74"/>
      <c r="V16" s="93"/>
      <c r="W16" s="94"/>
      <c r="X16" s="74"/>
      <c r="Y16" s="77"/>
      <c r="Z16" s="78"/>
      <c r="AA16" s="95"/>
      <c r="AB16" s="96"/>
      <c r="AC16" s="97"/>
      <c r="AD16" s="97"/>
      <c r="AE16" s="71"/>
      <c r="AF16" s="85"/>
      <c r="AG16" s="85"/>
      <c r="AH16" s="102"/>
      <c r="AI16" s="103"/>
      <c r="AJ16" s="102"/>
      <c r="AK16" s="103"/>
      <c r="AL16" s="98"/>
      <c r="AM16" s="98"/>
      <c r="AN16" s="98"/>
      <c r="AO16" s="98"/>
      <c r="AP16" s="85"/>
      <c r="AQ16" s="85"/>
    </row>
    <row r="17" customFormat="false" ht="24" hidden="false" customHeight="true" outlineLevel="0" collapsed="false">
      <c r="A17" s="12"/>
      <c r="B17" s="104"/>
      <c r="C17" s="105" t="s">
        <v>30</v>
      </c>
      <c r="D17" s="106"/>
      <c r="E17" s="107"/>
      <c r="F17" s="107"/>
      <c r="G17" s="107"/>
      <c r="H17" s="16"/>
      <c r="I17" s="57"/>
      <c r="J17" s="108"/>
      <c r="K17" s="109"/>
      <c r="L17" s="108"/>
      <c r="M17" s="109"/>
      <c r="N17" s="109"/>
      <c r="O17" s="110"/>
      <c r="P17" s="90"/>
      <c r="Q17" s="91"/>
      <c r="R17" s="75"/>
      <c r="S17" s="77"/>
      <c r="T17" s="92"/>
      <c r="U17" s="74"/>
      <c r="V17" s="93"/>
      <c r="W17" s="94"/>
      <c r="X17" s="74"/>
      <c r="Y17" s="77"/>
      <c r="Z17" s="78"/>
      <c r="AA17" s="95"/>
      <c r="AB17" s="96"/>
      <c r="AC17" s="97"/>
      <c r="AD17" s="97"/>
      <c r="AE17" s="71"/>
      <c r="AF17" s="85"/>
      <c r="AG17" s="85"/>
      <c r="AH17" s="85"/>
      <c r="AI17" s="131"/>
      <c r="AJ17" s="85"/>
      <c r="AK17" s="131"/>
      <c r="AL17" s="98"/>
      <c r="AM17" s="98"/>
      <c r="AN17" s="98"/>
      <c r="AO17" s="98"/>
      <c r="AP17" s="85"/>
      <c r="AQ17" s="85"/>
    </row>
    <row r="18" customFormat="false" ht="24" hidden="false" customHeight="true" outlineLevel="0" collapsed="false">
      <c r="A18" s="12"/>
      <c r="B18" s="38" t="s">
        <v>31</v>
      </c>
      <c r="C18" s="39" t="s">
        <v>32</v>
      </c>
      <c r="D18" s="111" t="s">
        <v>33</v>
      </c>
      <c r="E18" s="111"/>
      <c r="F18" s="111"/>
      <c r="G18" s="111"/>
      <c r="H18" s="16"/>
      <c r="I18" s="57"/>
      <c r="J18" s="87"/>
      <c r="K18" s="88"/>
      <c r="L18" s="87"/>
      <c r="M18" s="88"/>
      <c r="N18" s="88"/>
      <c r="O18" s="89"/>
      <c r="P18" s="90"/>
      <c r="Q18" s="91"/>
      <c r="R18" s="75"/>
      <c r="S18" s="77"/>
      <c r="T18" s="92"/>
      <c r="U18" s="74"/>
      <c r="V18" s="93"/>
      <c r="W18" s="94"/>
      <c r="X18" s="74"/>
      <c r="Y18" s="77"/>
      <c r="Z18" s="78"/>
      <c r="AA18" s="95"/>
      <c r="AB18" s="96"/>
      <c r="AC18" s="97"/>
      <c r="AD18" s="97"/>
      <c r="AE18" s="71"/>
      <c r="AF18" s="85"/>
      <c r="AG18" s="85"/>
      <c r="AH18" s="85"/>
      <c r="AI18" s="131"/>
      <c r="AJ18" s="112"/>
      <c r="AK18" s="113"/>
      <c r="AL18" s="98"/>
      <c r="AM18" s="98"/>
      <c r="AN18" s="98"/>
      <c r="AO18" s="98"/>
      <c r="AP18" s="85"/>
      <c r="AQ18" s="85"/>
    </row>
    <row r="19" customFormat="false" ht="24" hidden="false" customHeight="true" outlineLevel="0" collapsed="false">
      <c r="A19" s="12"/>
      <c r="B19" s="259"/>
      <c r="C19" s="100" t="s">
        <v>34</v>
      </c>
      <c r="D19" s="114" t="s">
        <v>35</v>
      </c>
      <c r="E19" s="114"/>
      <c r="F19" s="114"/>
      <c r="G19" s="115"/>
      <c r="H19" s="16"/>
      <c r="I19" s="57"/>
      <c r="J19" s="87"/>
      <c r="K19" s="88"/>
      <c r="L19" s="87"/>
      <c r="M19" s="88"/>
      <c r="N19" s="88"/>
      <c r="O19" s="89"/>
      <c r="P19" s="90"/>
      <c r="Q19" s="91"/>
      <c r="R19" s="75"/>
      <c r="S19" s="77"/>
      <c r="T19" s="92"/>
      <c r="U19" s="74"/>
      <c r="V19" s="93"/>
      <c r="W19" s="94"/>
      <c r="X19" s="74"/>
      <c r="Y19" s="77"/>
      <c r="Z19" s="78"/>
      <c r="AA19" s="95"/>
      <c r="AB19" s="96"/>
      <c r="AC19" s="97"/>
      <c r="AD19" s="97"/>
      <c r="AE19" s="71"/>
      <c r="AF19" s="85"/>
      <c r="AG19" s="85"/>
      <c r="AH19" s="116"/>
      <c r="AI19" s="117"/>
      <c r="AJ19" s="116"/>
      <c r="AK19" s="117"/>
      <c r="AL19" s="102"/>
      <c r="AM19" s="102"/>
      <c r="AN19" s="102"/>
      <c r="AO19" s="102"/>
      <c r="AP19" s="85"/>
      <c r="AQ19" s="85"/>
    </row>
    <row r="20" customFormat="false" ht="24" hidden="false" customHeight="true" outlineLevel="0" collapsed="false">
      <c r="A20" s="12"/>
      <c r="B20" s="259"/>
      <c r="C20" s="100" t="s">
        <v>36</v>
      </c>
      <c r="D20" s="118"/>
      <c r="E20" s="119">
        <f aca="false">D20*0.3025</f>
      </c>
      <c r="F20" s="120"/>
      <c r="G20" s="120"/>
      <c r="H20" s="16"/>
      <c r="I20" s="57"/>
      <c r="J20" s="87"/>
      <c r="K20" s="88"/>
      <c r="L20" s="87"/>
      <c r="M20" s="88"/>
      <c r="N20" s="88"/>
      <c r="O20" s="89"/>
      <c r="P20" s="90"/>
      <c r="Q20" s="91"/>
      <c r="R20" s="75"/>
      <c r="S20" s="77"/>
      <c r="T20" s="92"/>
      <c r="U20" s="74"/>
      <c r="V20" s="93"/>
      <c r="W20" s="94"/>
      <c r="X20" s="74"/>
      <c r="Y20" s="77"/>
      <c r="Z20" s="78"/>
      <c r="AA20" s="95"/>
      <c r="AB20" s="96"/>
      <c r="AC20" s="97"/>
      <c r="AD20" s="97"/>
      <c r="AE20" s="71"/>
      <c r="AF20" s="85"/>
      <c r="AG20" s="85"/>
      <c r="AH20" s="85"/>
      <c r="AI20" s="131"/>
      <c r="AJ20" s="85"/>
      <c r="AK20" s="131"/>
      <c r="AL20" s="85"/>
      <c r="AM20" s="85"/>
      <c r="AN20" s="85"/>
      <c r="AO20" s="85"/>
      <c r="AP20" s="85"/>
      <c r="AQ20" s="85"/>
    </row>
    <row r="21" customFormat="false" ht="24" hidden="false" customHeight="true" outlineLevel="0" collapsed="false">
      <c r="A21" s="12"/>
      <c r="B21" s="259"/>
      <c r="C21" s="121" t="s">
        <v>37</v>
      </c>
      <c r="D21" s="122" t="s">
        <v>38</v>
      </c>
      <c r="E21" s="123">
        <f aca="false">AA29</f>
      </c>
      <c r="F21" s="124">
        <f aca="false">E21*0.3025</f>
      </c>
      <c r="G21" s="125"/>
      <c r="H21" s="16"/>
      <c r="I21" s="57"/>
      <c r="J21" s="87"/>
      <c r="K21" s="88"/>
      <c r="L21" s="87"/>
      <c r="M21" s="88"/>
      <c r="N21" s="88"/>
      <c r="O21" s="89"/>
      <c r="P21" s="90"/>
      <c r="Q21" s="91"/>
      <c r="R21" s="75"/>
      <c r="S21" s="77"/>
      <c r="T21" s="92"/>
      <c r="U21" s="74"/>
      <c r="V21" s="93"/>
      <c r="W21" s="94"/>
      <c r="X21" s="74"/>
      <c r="Y21" s="77"/>
      <c r="Z21" s="78"/>
      <c r="AA21" s="95"/>
      <c r="AB21" s="96"/>
      <c r="AC21" s="97"/>
      <c r="AD21" s="97"/>
      <c r="AE21" s="71"/>
      <c r="AF21" s="85"/>
      <c r="AG21" s="85"/>
      <c r="AH21" s="85"/>
      <c r="AI21" s="131"/>
      <c r="AJ21" s="85"/>
      <c r="AK21" s="131"/>
      <c r="AL21" s="98"/>
      <c r="AM21" s="98"/>
      <c r="AN21" s="98"/>
      <c r="AO21" s="98"/>
      <c r="AP21" s="85"/>
      <c r="AQ21" s="85"/>
    </row>
    <row r="22" customFormat="false" ht="24" hidden="false" customHeight="true" outlineLevel="0" collapsed="false">
      <c r="A22" s="12"/>
      <c r="B22" s="259"/>
      <c r="C22" s="121"/>
      <c r="D22" s="122" t="s">
        <v>39</v>
      </c>
      <c r="E22" s="123">
        <f aca="false">AA36</f>
      </c>
      <c r="F22" s="124">
        <f aca="false">E22*0.3025</f>
      </c>
      <c r="G22" s="125"/>
      <c r="H22" s="16"/>
      <c r="I22" s="57"/>
      <c r="J22" s="87"/>
      <c r="K22" s="88"/>
      <c r="L22" s="87"/>
      <c r="M22" s="88"/>
      <c r="N22" s="126"/>
      <c r="O22" s="127"/>
      <c r="P22" s="90">
        <f aca="false">J22+N22</f>
      </c>
      <c r="Q22" s="91"/>
      <c r="R22" s="75"/>
      <c r="S22" s="77"/>
      <c r="T22" s="92"/>
      <c r="U22" s="74"/>
      <c r="V22" s="93"/>
      <c r="W22" s="94"/>
      <c r="X22" s="74"/>
      <c r="Y22" s="77"/>
      <c r="Z22" s="78"/>
      <c r="AA22" s="95"/>
      <c r="AB22" s="96"/>
      <c r="AC22" s="97"/>
      <c r="AD22" s="97"/>
      <c r="AE22" s="71"/>
      <c r="AF22" s="85"/>
      <c r="AG22" s="85"/>
      <c r="AH22" s="85"/>
      <c r="AI22" s="131"/>
      <c r="AJ22" s="85"/>
      <c r="AK22" s="131"/>
      <c r="AL22" s="98"/>
      <c r="AM22" s="98"/>
      <c r="AN22" s="98"/>
      <c r="AO22" s="98"/>
      <c r="AP22" s="85"/>
      <c r="AQ22" s="85"/>
    </row>
    <row r="23" customFormat="false" ht="24" hidden="false" customHeight="true" outlineLevel="0" collapsed="false">
      <c r="A23" s="12"/>
      <c r="B23" s="259"/>
      <c r="C23" s="121"/>
      <c r="D23" s="128" t="s">
        <v>19</v>
      </c>
      <c r="E23" s="129">
        <f aca="false">SUM(E21:E22)</f>
      </c>
      <c r="F23" s="124">
        <f aca="false">E23*0.3025</f>
      </c>
      <c r="G23" s="130"/>
      <c r="H23" s="16"/>
      <c r="I23" s="57"/>
      <c r="J23" s="87"/>
      <c r="K23" s="88"/>
      <c r="L23" s="87"/>
      <c r="M23" s="88"/>
      <c r="N23" s="126"/>
      <c r="O23" s="127"/>
      <c r="P23" s="90">
        <f aca="false">J23+N23</f>
      </c>
      <c r="Q23" s="91"/>
      <c r="R23" s="75"/>
      <c r="S23" s="77"/>
      <c r="T23" s="92"/>
      <c r="U23" s="74"/>
      <c r="V23" s="93"/>
      <c r="W23" s="94"/>
      <c r="X23" s="74"/>
      <c r="Y23" s="77"/>
      <c r="Z23" s="78"/>
      <c r="AA23" s="95"/>
      <c r="AB23" s="96"/>
      <c r="AC23" s="97"/>
      <c r="AD23" s="97"/>
      <c r="AE23" s="71"/>
      <c r="AF23" s="131" t="s">
        <v>40</v>
      </c>
      <c r="AG23" s="131" t="s">
        <v>25</v>
      </c>
      <c r="AH23" s="131"/>
      <c r="AI23" s="131"/>
      <c r="AJ23" s="131"/>
      <c r="AK23" s="131"/>
      <c r="AL23" s="133"/>
      <c r="AM23" s="133"/>
      <c r="AN23" s="133"/>
      <c r="AO23" s="133"/>
      <c r="AP23" s="131"/>
      <c r="AQ23" s="131"/>
      <c r="AR23" s="133" t="s">
        <v>41</v>
      </c>
    </row>
    <row r="24" customFormat="false" ht="24" hidden="false" customHeight="true" outlineLevel="0" collapsed="false">
      <c r="A24" s="12"/>
      <c r="B24" s="259"/>
      <c r="C24" s="134" t="s">
        <v>42</v>
      </c>
      <c r="D24" s="135">
        <f aca="false">D20/$E$15</f>
      </c>
      <c r="E24" s="136" t="s">
        <v>43</v>
      </c>
      <c r="F24" s="137"/>
      <c r="G24" s="138"/>
      <c r="H24" s="16"/>
      <c r="I24" s="57"/>
      <c r="J24" s="87"/>
      <c r="K24" s="88"/>
      <c r="L24" s="87"/>
      <c r="M24" s="88"/>
      <c r="N24" s="126"/>
      <c r="O24" s="127"/>
      <c r="P24" s="90">
        <f aca="false">J24+N24</f>
      </c>
      <c r="Q24" s="91"/>
      <c r="R24" s="75"/>
      <c r="S24" s="77"/>
      <c r="T24" s="92"/>
      <c r="U24" s="139"/>
      <c r="V24" s="140"/>
      <c r="W24" s="94"/>
      <c r="X24" s="141"/>
      <c r="Y24" s="142"/>
      <c r="Z24" s="143"/>
      <c r="AA24" s="144"/>
      <c r="AB24" s="96"/>
      <c r="AC24" s="97"/>
      <c r="AD24" s="97"/>
      <c r="AE24" s="71" t="s">
        <v>44</v>
      </c>
      <c r="AF24" s="85"/>
      <c r="AG24" s="85"/>
      <c r="AH24" s="85"/>
      <c r="AI24" s="131"/>
      <c r="AJ24" s="85"/>
      <c r="AK24" s="131"/>
      <c r="AL24" s="98"/>
      <c r="AM24" s="98"/>
      <c r="AN24" s="98"/>
      <c r="AO24" s="98"/>
      <c r="AP24" s="85">
        <f aca="false">SUM(AG24:AO24)</f>
      </c>
      <c r="AQ24" s="131"/>
      <c r="AR24" s="98">
        <f aca="false">+AF24-AP24</f>
      </c>
      <c r="AS24" s="2"/>
      <c r="AT24" s="2">
        <f aca="false">+AR24*AS24</f>
      </c>
    </row>
    <row r="25" customFormat="false" ht="24" hidden="false" customHeight="true" outlineLevel="0" collapsed="false">
      <c r="A25" s="5"/>
      <c r="B25" s="259"/>
      <c r="C25" s="145" t="s">
        <v>45</v>
      </c>
      <c r="D25" s="146">
        <f aca="false">(P29)/$E$15</f>
      </c>
      <c r="E25" s="147" t="s">
        <v>43</v>
      </c>
      <c r="F25" s="148"/>
      <c r="G25" s="149"/>
      <c r="H25" s="16"/>
      <c r="I25" s="57" t="s">
        <v>46</v>
      </c>
      <c r="J25" s="87"/>
      <c r="K25" s="88">
        <f aca="false">+J25*0.3025</f>
      </c>
      <c r="L25" s="87"/>
      <c r="M25" s="88">
        <f aca="false">+L25*0.3025</f>
      </c>
      <c r="N25" s="88"/>
      <c r="O25" s="88">
        <f aca="false">+N25*0.3025</f>
      </c>
      <c r="P25" s="150">
        <f aca="false">J25+N25+L25</f>
      </c>
      <c r="Q25" s="151">
        <f aca="false">+P25*0.3025</f>
      </c>
      <c r="R25" s="126"/>
      <c r="S25" s="152"/>
      <c r="T25" s="153">
        <f aca="false">R25+S25</f>
      </c>
      <c r="U25" s="139"/>
      <c r="V25" s="140"/>
      <c r="W25" s="94">
        <f aca="false">+U25+V25</f>
      </c>
      <c r="X25" s="141"/>
      <c r="Y25" s="142"/>
      <c r="Z25" s="143"/>
      <c r="AA25" s="144">
        <f aca="false">+SUM(P25,T25,W25,X25,Y25,Z25)</f>
      </c>
      <c r="AB25" s="154"/>
      <c r="AC25" s="154"/>
      <c r="AD25" s="154"/>
      <c r="AE25" s="71"/>
      <c r="AF25" s="85"/>
      <c r="AG25" s="131"/>
      <c r="AH25" s="85"/>
      <c r="AI25" s="131"/>
      <c r="AJ25" s="85"/>
      <c r="AK25" s="131"/>
      <c r="AL25" s="98"/>
      <c r="AM25" s="98"/>
      <c r="AN25" s="98"/>
      <c r="AO25" s="98"/>
      <c r="AP25" s="85"/>
      <c r="AQ25" s="131"/>
      <c r="AR25" s="98"/>
    </row>
    <row r="26" customFormat="false" ht="24" hidden="false" customHeight="true" outlineLevel="0" collapsed="false">
      <c r="A26" s="5"/>
      <c r="B26" s="38" t="s">
        <v>48</v>
      </c>
      <c r="C26" s="155" t="s">
        <v>49</v>
      </c>
      <c r="D26" s="156" t="s">
        <v>50</v>
      </c>
      <c r="E26" s="157"/>
      <c r="F26" s="158"/>
      <c r="G26" s="433"/>
      <c r="H26" s="16"/>
      <c r="I26" s="57"/>
      <c r="J26" s="87"/>
      <c r="K26" s="88">
        <f aca="false">+J26*0.3025</f>
      </c>
      <c r="L26" s="87"/>
      <c r="M26" s="88">
        <f aca="false">+L26*0.3025</f>
      </c>
      <c r="N26" s="88"/>
      <c r="O26" s="88">
        <f aca="false">+N26*0.3025</f>
      </c>
      <c r="P26" s="150">
        <f aca="false">J26+N26+L26</f>
      </c>
      <c r="Q26" s="91">
        <f aca="false">+P26*0.3025</f>
      </c>
      <c r="R26" s="126"/>
      <c r="S26" s="152"/>
      <c r="T26" s="153">
        <f aca="false">R26+S26</f>
      </c>
      <c r="U26" s="74"/>
      <c r="V26" s="93"/>
      <c r="W26" s="94">
        <f aca="false">+U26+V26</f>
      </c>
      <c r="X26" s="74"/>
      <c r="Y26" s="77"/>
      <c r="Z26" s="78"/>
      <c r="AA26" s="144">
        <f aca="false">+SUM(P26,T26,W26,X26,Y26,Z26)</f>
      </c>
      <c r="AB26" s="154" t="s">
        <v>93</v>
      </c>
      <c r="AC26" s="154"/>
      <c r="AD26" s="154"/>
      <c r="AE26" s="71"/>
      <c r="AF26" s="85"/>
      <c r="AG26" s="131"/>
      <c r="AH26" s="85"/>
      <c r="AI26" s="131"/>
      <c r="AJ26" s="85"/>
      <c r="AK26" s="131"/>
      <c r="AL26" s="160"/>
      <c r="AM26" s="160"/>
      <c r="AN26" s="160"/>
      <c r="AO26" s="160"/>
      <c r="AP26" s="85"/>
      <c r="AQ26" s="131"/>
      <c r="AR26" s="98"/>
    </row>
    <row r="27" customFormat="false" ht="24" hidden="false" customHeight="true" outlineLevel="0" collapsed="false">
      <c r="A27" s="12"/>
      <c r="B27" s="259"/>
      <c r="C27" s="161"/>
      <c r="D27" s="162" t="s">
        <v>51</v>
      </c>
      <c r="E27" s="163">
        <f aca="false">+J37+N28+N30</f>
      </c>
      <c r="F27" s="164"/>
      <c r="G27" s="165">
        <f aca="false">+E27/134</f>
      </c>
      <c r="H27" s="166"/>
      <c r="I27" s="57"/>
      <c r="J27" s="87"/>
      <c r="K27" s="88">
        <f aca="false">+J27*0.3025</f>
      </c>
      <c r="L27" s="87"/>
      <c r="M27" s="88">
        <f aca="false">+L27*0.3025</f>
      </c>
      <c r="N27" s="88"/>
      <c r="O27" s="88">
        <f aca="false">+N27*0.3025</f>
      </c>
      <c r="P27" s="150">
        <f aca="false">J27+N27+L27</f>
      </c>
      <c r="Q27" s="91">
        <f aca="false">+P27*0.3025</f>
      </c>
      <c r="R27" s="126"/>
      <c r="S27" s="152"/>
      <c r="T27" s="153">
        <f aca="false">R27+S27</f>
      </c>
      <c r="U27" s="139"/>
      <c r="V27" s="140"/>
      <c r="W27" s="167">
        <f aca="false">+U27+V27</f>
      </c>
      <c r="X27" s="74"/>
      <c r="Y27" s="77"/>
      <c r="Z27" s="78"/>
      <c r="AA27" s="144">
        <f aca="false">+SUM(P27,T27,W27,X27,Y27,Z27)</f>
      </c>
      <c r="AB27" s="154" t="s">
        <v>93</v>
      </c>
      <c r="AC27" s="154"/>
      <c r="AD27" s="154"/>
      <c r="AE27" s="71"/>
      <c r="AF27" s="85"/>
      <c r="AG27" s="131"/>
      <c r="AH27" s="85"/>
      <c r="AI27" s="131"/>
      <c r="AJ27" s="85"/>
      <c r="AK27" s="131"/>
      <c r="AL27" s="160"/>
      <c r="AM27" s="160"/>
      <c r="AN27" s="160"/>
      <c r="AO27" s="160"/>
      <c r="AP27" s="85"/>
      <c r="AQ27" s="131"/>
      <c r="AR27" s="160"/>
    </row>
    <row r="28" customFormat="false" ht="24" hidden="false" customHeight="true" outlineLevel="0" collapsed="false">
      <c r="A28" s="12"/>
      <c r="B28" s="259"/>
      <c r="C28" s="161"/>
      <c r="D28" s="168"/>
      <c r="E28" s="163"/>
      <c r="F28" s="164"/>
      <c r="G28" s="165"/>
      <c r="H28" s="166"/>
      <c r="I28" s="57"/>
      <c r="J28" s="169"/>
      <c r="K28" s="88">
        <f aca="false">+J28*0.3025</f>
      </c>
      <c r="L28" s="169"/>
      <c r="M28" s="88">
        <f aca="false">+L28*0.3025</f>
      </c>
      <c r="N28" s="88"/>
      <c r="O28" s="88">
        <f aca="false">+N28*0.3025</f>
      </c>
      <c r="P28" s="150">
        <f aca="false">J28+N28+L28</f>
      </c>
      <c r="Q28" s="91">
        <f aca="false">+P28*0.3025</f>
      </c>
      <c r="R28" s="126"/>
      <c r="S28" s="152"/>
      <c r="T28" s="153">
        <f aca="false">R28+S28</f>
      </c>
      <c r="U28" s="139"/>
      <c r="V28" s="140"/>
      <c r="W28" s="167">
        <f aca="false">+U28+V28</f>
      </c>
      <c r="X28" s="74"/>
      <c r="Y28" s="77"/>
      <c r="Z28" s="78"/>
      <c r="AA28" s="144">
        <f aca="false">+SUM(P28,T28,W28,X28,Y28,Z28)</f>
      </c>
      <c r="AB28" s="431" t="s">
        <v>11</v>
      </c>
      <c r="AC28" s="431"/>
      <c r="AD28" s="431"/>
      <c r="AE28" s="71"/>
      <c r="AF28" s="85"/>
      <c r="AG28" s="131"/>
      <c r="AH28" s="85"/>
      <c r="AI28" s="131"/>
      <c r="AJ28" s="85"/>
      <c r="AK28" s="131"/>
      <c r="AL28" s="160"/>
      <c r="AM28" s="160"/>
      <c r="AN28" s="160"/>
      <c r="AO28" s="160"/>
      <c r="AP28" s="85"/>
      <c r="AQ28" s="131"/>
      <c r="AR28" s="160"/>
    </row>
    <row r="29" customFormat="false" ht="24" hidden="false" customHeight="true" outlineLevel="0" collapsed="false">
      <c r="A29" s="12"/>
      <c r="B29" s="259"/>
      <c r="C29" s="161"/>
      <c r="D29" s="162"/>
      <c r="E29" s="171"/>
      <c r="F29" s="158"/>
      <c r="G29" s="165"/>
      <c r="H29" s="166"/>
      <c r="I29" s="172" t="s">
        <v>53</v>
      </c>
      <c r="J29" s="173">
        <f aca="false">SUM(J25:J28)</f>
      </c>
      <c r="K29" s="174">
        <f aca="false">+J29*0.3025</f>
      </c>
      <c r="L29" s="173">
        <f aca="false">SUM(L25:L28)</f>
      </c>
      <c r="M29" s="174">
        <f aca="false">+L29*0.3025</f>
      </c>
      <c r="N29" s="175">
        <f aca="false">SUM(N9:N28)</f>
      </c>
      <c r="O29" s="176">
        <f aca="false">+N29*0.3025</f>
      </c>
      <c r="P29" s="177">
        <f aca="false">SUM(P25:P28)</f>
      </c>
      <c r="Q29" s="178">
        <f aca="false">+P29*0.3025</f>
      </c>
      <c r="R29" s="174"/>
      <c r="S29" s="177"/>
      <c r="T29" s="178">
        <f aca="false">SUM(T9:T28)</f>
      </c>
      <c r="U29" s="173">
        <f aca="false">SUM(U9:U28)</f>
      </c>
      <c r="V29" s="177">
        <f aca="false">SUM(V9:V28)</f>
      </c>
      <c r="W29" s="178">
        <f aca="false">SUM(W9:W28)</f>
      </c>
      <c r="X29" s="173">
        <f aca="false">SUM(X9:X28)</f>
      </c>
      <c r="Y29" s="177">
        <f aca="false">SUM(Y9:Y28)</f>
      </c>
      <c r="Z29" s="178">
        <f aca="false">SUM(Z9:Z28)</f>
      </c>
      <c r="AA29" s="179">
        <f aca="false">+SUM(P29,T29,W29,X29,Y29,Z29)</f>
      </c>
      <c r="AB29" s="170"/>
      <c r="AC29" s="170"/>
      <c r="AD29" s="170"/>
      <c r="AE29" s="180"/>
      <c r="AF29" s="131">
        <f aca="false">+J28+N28+J30+N30</f>
      </c>
      <c r="AG29" s="131">
        <f aca="false">+AF29/134</f>
      </c>
      <c r="AH29" s="131"/>
      <c r="AI29" s="131"/>
      <c r="AJ29" s="85"/>
      <c r="AK29" s="131"/>
      <c r="AL29" s="181"/>
      <c r="AM29" s="181"/>
      <c r="AN29" s="181"/>
      <c r="AO29" s="181"/>
      <c r="AP29" s="182"/>
      <c r="AQ29" s="182"/>
      <c r="AR29" s="183"/>
    </row>
    <row r="30" customFormat="false" ht="24" hidden="false" customHeight="true" outlineLevel="0" collapsed="false">
      <c r="A30" s="12"/>
      <c r="B30" s="259"/>
      <c r="C30" s="161"/>
      <c r="D30" s="162" t="s">
        <v>14</v>
      </c>
      <c r="E30" s="184"/>
      <c r="F30" s="185"/>
      <c r="G30" s="186"/>
      <c r="H30" s="166"/>
      <c r="I30" s="187"/>
      <c r="J30" s="188"/>
      <c r="K30" s="88">
        <f aca="false">+J30*0.3025</f>
      </c>
      <c r="L30" s="189"/>
      <c r="M30" s="189"/>
      <c r="N30" s="190"/>
      <c r="O30" s="88">
        <f aca="false">+N30*0.3025</f>
      </c>
      <c r="P30" s="191">
        <f aca="false">J30+N30</f>
      </c>
      <c r="Q30" s="91">
        <f aca="false">+P30*0.3025</f>
      </c>
      <c r="R30" s="192"/>
      <c r="S30" s="193"/>
      <c r="T30" s="194">
        <f aca="false">R30+S30</f>
      </c>
      <c r="U30" s="195">
        <f aca="false">+AE30</f>
      </c>
      <c r="V30" s="190">
        <f aca="false">+AF30+AJ30</f>
      </c>
      <c r="W30" s="196">
        <f aca="false">+U30+V30</f>
      </c>
      <c r="X30" s="197"/>
      <c r="Y30" s="198"/>
      <c r="Z30" s="199"/>
      <c r="AA30" s="144">
        <f aca="false">+SUM(P30,T30,W30,X30,Y30,Z30)</f>
      </c>
      <c r="AB30" s="432"/>
      <c r="AC30" s="432"/>
      <c r="AD30" s="432"/>
      <c r="AE30" s="71"/>
      <c r="AF30" s="131"/>
      <c r="AG30" s="131"/>
      <c r="AH30" s="131"/>
      <c r="AI30" s="131"/>
      <c r="AJ30" s="85"/>
      <c r="AK30" s="131"/>
      <c r="AL30" s="160"/>
      <c r="AM30" s="160"/>
      <c r="AN30" s="160"/>
      <c r="AO30" s="160"/>
      <c r="AP30" s="182"/>
      <c r="AQ30" s="182"/>
      <c r="AR30" s="201"/>
    </row>
    <row r="31" customFormat="false" ht="24" hidden="false" customHeight="true" outlineLevel="0" collapsed="false">
      <c r="A31" s="12"/>
      <c r="B31" s="259"/>
      <c r="C31" s="145" t="s">
        <v>55</v>
      </c>
      <c r="D31" s="202" t="s">
        <v>38</v>
      </c>
      <c r="E31" s="203" t="s">
        <v>56</v>
      </c>
      <c r="F31" s="203"/>
      <c r="G31" s="204"/>
      <c r="H31" s="166"/>
      <c r="I31" s="187"/>
      <c r="J31" s="139"/>
      <c r="K31" s="205"/>
      <c r="L31" s="205"/>
      <c r="M31" s="205"/>
      <c r="N31" s="206"/>
      <c r="O31" s="206"/>
      <c r="P31" s="191"/>
      <c r="Q31" s="207"/>
      <c r="R31" s="208"/>
      <c r="S31" s="209"/>
      <c r="T31" s="62">
        <f aca="false">R31+S31</f>
      </c>
      <c r="U31" s="210"/>
      <c r="V31" s="140"/>
      <c r="W31" s="211">
        <f aca="false">+U31+V31</f>
      </c>
      <c r="X31" s="141"/>
      <c r="Y31" s="212"/>
      <c r="Z31" s="167"/>
      <c r="AA31" s="144">
        <f aca="false">+SUM(P31,T31,W31,X31,Y31,Z31)</f>
      </c>
      <c r="AB31" s="96"/>
      <c r="AC31" s="96"/>
      <c r="AD31" s="96"/>
      <c r="AE31" s="71"/>
      <c r="AF31" s="213"/>
      <c r="AG31" s="213"/>
      <c r="AH31" s="213"/>
      <c r="AI31" s="213"/>
      <c r="AJ31" s="85"/>
      <c r="AK31" s="131"/>
      <c r="AL31" s="160"/>
      <c r="AM31" s="160"/>
      <c r="AN31" s="160"/>
      <c r="AO31" s="160"/>
      <c r="AP31" s="160"/>
      <c r="AQ31" s="182"/>
      <c r="AR31" s="201"/>
    </row>
    <row r="32" customFormat="false" ht="24" hidden="false" customHeight="true" outlineLevel="0" collapsed="false">
      <c r="A32" s="12"/>
      <c r="B32" s="214"/>
      <c r="C32" s="215"/>
      <c r="D32" s="128" t="s">
        <v>39</v>
      </c>
      <c r="E32" s="216" t="s">
        <v>56</v>
      </c>
      <c r="F32" s="216"/>
      <c r="G32" s="217"/>
      <c r="H32" s="166"/>
      <c r="I32" s="187"/>
      <c r="J32" s="74"/>
      <c r="K32" s="75"/>
      <c r="L32" s="75"/>
      <c r="M32" s="75"/>
      <c r="N32" s="77"/>
      <c r="O32" s="60"/>
      <c r="P32" s="62">
        <f aca="false">J32+N32</f>
      </c>
      <c r="Q32" s="218"/>
      <c r="R32" s="208"/>
      <c r="S32" s="209"/>
      <c r="T32" s="62">
        <f aca="false">R32+S32</f>
      </c>
      <c r="U32" s="219"/>
      <c r="V32" s="93"/>
      <c r="W32" s="94">
        <f aca="false">+U32+V32</f>
      </c>
      <c r="X32" s="74"/>
      <c r="Y32" s="93">
        <f aca="false">+AA32-X32</f>
      </c>
      <c r="Z32" s="94"/>
      <c r="AA32" s="220">
        <f aca="false">+AH32</f>
      </c>
      <c r="AB32" s="97"/>
      <c r="AC32" s="97"/>
      <c r="AD32" s="97"/>
      <c r="AE32" s="71"/>
      <c r="AF32" s="85"/>
      <c r="AG32" s="85"/>
      <c r="AH32" s="131"/>
      <c r="AI32" s="131"/>
      <c r="AJ32" s="85"/>
      <c r="AK32" s="131"/>
      <c r="AL32" s="160"/>
      <c r="AM32" s="160"/>
      <c r="AN32" s="160"/>
      <c r="AO32" s="160"/>
      <c r="AP32" s="182"/>
      <c r="AQ32" s="182"/>
      <c r="AR32" s="201"/>
    </row>
    <row r="33" customFormat="false" ht="24" hidden="false" customHeight="true" outlineLevel="0" collapsed="false">
      <c r="A33" s="12"/>
      <c r="B33" s="221"/>
      <c r="C33" s="222"/>
      <c r="D33" s="223"/>
      <c r="E33" s="224"/>
      <c r="F33" s="225"/>
      <c r="G33" s="224"/>
      <c r="H33" s="166"/>
      <c r="I33" s="187"/>
      <c r="J33" s="219"/>
      <c r="K33" s="226"/>
      <c r="L33" s="226"/>
      <c r="M33" s="226"/>
      <c r="N33" s="93"/>
      <c r="O33" s="227"/>
      <c r="P33" s="228"/>
      <c r="Q33" s="229"/>
      <c r="R33" s="230"/>
      <c r="S33" s="231"/>
      <c r="T33" s="228"/>
      <c r="U33" s="219"/>
      <c r="V33" s="93"/>
      <c r="W33" s="94"/>
      <c r="X33" s="219"/>
      <c r="Y33" s="93"/>
      <c r="Z33" s="94"/>
      <c r="AA33" s="232"/>
      <c r="AB33" s="97"/>
      <c r="AC33" s="97"/>
      <c r="AD33" s="97"/>
      <c r="AE33" s="71"/>
      <c r="AF33" s="85"/>
      <c r="AG33" s="85"/>
      <c r="AH33" s="131">
        <f aca="false">+AE33-AF33</f>
      </c>
      <c r="AI33" s="131"/>
      <c r="AJ33" s="85"/>
      <c r="AK33" s="131"/>
      <c r="AL33" s="98"/>
      <c r="AM33" s="98"/>
      <c r="AN33" s="98"/>
      <c r="AO33" s="98"/>
      <c r="AP33" s="85"/>
      <c r="AQ33" s="85"/>
    </row>
    <row r="34" customFormat="false" ht="24" hidden="false" customHeight="true" outlineLevel="0" collapsed="false">
      <c r="A34" s="12"/>
      <c r="B34" s="38" t="s">
        <v>57</v>
      </c>
      <c r="C34" s="39" t="s">
        <v>49</v>
      </c>
      <c r="D34" s="233">
        <f aca="false">E15</f>
      </c>
      <c r="E34" s="234"/>
      <c r="F34" s="235">
        <f aca="false">D34*E34</f>
      </c>
      <c r="G34" s="41"/>
      <c r="H34" s="166"/>
      <c r="I34" s="187"/>
      <c r="J34" s="74"/>
      <c r="K34" s="75"/>
      <c r="L34" s="75"/>
      <c r="M34" s="75"/>
      <c r="N34" s="77"/>
      <c r="O34" s="236"/>
      <c r="P34" s="237">
        <f aca="false">J34+N34</f>
      </c>
      <c r="Q34" s="238"/>
      <c r="R34" s="208"/>
      <c r="S34" s="209"/>
      <c r="T34" s="237">
        <f aca="false">R34+S34</f>
      </c>
      <c r="U34" s="74"/>
      <c r="V34" s="77"/>
      <c r="W34" s="78">
        <f aca="false">+U34+V34</f>
      </c>
      <c r="X34" s="74"/>
      <c r="Y34" s="77"/>
      <c r="Z34" s="78"/>
      <c r="AA34" s="220">
        <f aca="false">+SUM(P34,T34,W34,X34,Y34,Z34)</f>
      </c>
      <c r="AB34" s="97"/>
      <c r="AC34" s="97"/>
      <c r="AD34" s="97"/>
      <c r="AE34" s="71"/>
      <c r="AF34" s="239"/>
      <c r="AG34" s="239"/>
      <c r="AH34" s="85"/>
      <c r="AI34" s="131"/>
      <c r="AJ34" s="85"/>
      <c r="AK34" s="131"/>
      <c r="AL34" s="85"/>
      <c r="AM34" s="85"/>
      <c r="AN34" s="85"/>
      <c r="AO34" s="85"/>
      <c r="AP34" s="85"/>
      <c r="AQ34" s="85"/>
    </row>
    <row r="35" customFormat="false" ht="24" hidden="false" customHeight="true" outlineLevel="0" collapsed="false">
      <c r="A35" s="12"/>
      <c r="B35" s="259"/>
      <c r="C35" s="240"/>
      <c r="D35" s="241"/>
      <c r="E35" s="242"/>
      <c r="F35" s="243"/>
      <c r="G35" s="244"/>
      <c r="H35" s="166"/>
      <c r="I35" s="187"/>
      <c r="J35" s="245"/>
      <c r="K35" s="245"/>
      <c r="L35" s="245"/>
      <c r="M35" s="245"/>
      <c r="N35" s="77"/>
      <c r="O35" s="236"/>
      <c r="P35" s="237">
        <f aca="false">J35+N35</f>
      </c>
      <c r="Q35" s="238"/>
      <c r="R35" s="208"/>
      <c r="S35" s="209"/>
      <c r="T35" s="237">
        <f aca="false">R35+S35</f>
      </c>
      <c r="U35" s="246"/>
      <c r="V35" s="77"/>
      <c r="W35" s="78">
        <f aca="false">+U35+V35</f>
      </c>
      <c r="X35" s="74"/>
      <c r="Y35" s="77"/>
      <c r="Z35" s="247"/>
      <c r="AA35" s="220">
        <f aca="false">+SUM(P35,T35,W35,X35,Y35,Z35)</f>
      </c>
      <c r="AB35" s="97"/>
      <c r="AC35" s="97"/>
      <c r="AD35" s="97"/>
      <c r="AE35" s="71"/>
      <c r="AF35" s="239"/>
      <c r="AG35" s="239"/>
      <c r="AH35" s="85"/>
      <c r="AI35" s="131"/>
      <c r="AJ35" s="85"/>
      <c r="AK35" s="131">
        <f aca="false">+AI35/AJ35</f>
      </c>
      <c r="AL35" s="85"/>
      <c r="AM35" s="85"/>
      <c r="AN35" s="85"/>
      <c r="AO35" s="85"/>
      <c r="AP35" s="85"/>
      <c r="AQ35" s="85"/>
    </row>
    <row r="36" customFormat="false" ht="24" hidden="false" customHeight="true" outlineLevel="0" collapsed="false">
      <c r="A36" s="12"/>
      <c r="B36" s="248"/>
      <c r="C36" s="100" t="s">
        <v>55</v>
      </c>
      <c r="D36" s="249">
        <f aca="false">+D34</f>
      </c>
      <c r="E36" s="250">
        <f aca="false">+E34</f>
      </c>
      <c r="F36" s="251">
        <f aca="false">D36*E36</f>
      </c>
      <c r="G36" s="252"/>
      <c r="H36" s="16"/>
      <c r="I36" s="172" t="s">
        <v>58</v>
      </c>
      <c r="J36" s="177">
        <f aca="false">SUM(J30:J35)</f>
      </c>
      <c r="K36" s="177">
        <f aca="false">+J36*0.3025</f>
      </c>
      <c r="L36" s="177"/>
      <c r="M36" s="177"/>
      <c r="N36" s="177">
        <f aca="false">SUM(N30:N35)</f>
      </c>
      <c r="O36" s="253">
        <f aca="false">+N36*0.3025</f>
      </c>
      <c r="P36" s="178">
        <f aca="false">SUM(P30:P35)</f>
      </c>
      <c r="Q36" s="179">
        <f aca="false">+P36*0.3025</f>
      </c>
      <c r="R36" s="254">
        <f aca="false">SUM(R30:R35)</f>
      </c>
      <c r="S36" s="255">
        <f aca="false">SUM(S30:S35)</f>
      </c>
      <c r="T36" s="256">
        <f aca="false">SUM(T30:T35)</f>
      </c>
      <c r="U36" s="173">
        <f aca="false">SUM(U30:U35)</f>
      </c>
      <c r="V36" s="177">
        <f aca="false">SUM(V30:V35)</f>
      </c>
      <c r="W36" s="178">
        <f aca="false">SUM(W30:W35)</f>
      </c>
      <c r="X36" s="173">
        <f aca="false">SUM(X30:X35)</f>
      </c>
      <c r="Y36" s="177">
        <f aca="false">SUM(Y30:Y35)</f>
      </c>
      <c r="Z36" s="178">
        <f aca="false">SUM(Z30:Z35)</f>
      </c>
      <c r="AA36" s="179">
        <f aca="false">+SUM(P36,T36,W36,X36,Y36,Z36)</f>
      </c>
      <c r="AB36" s="170"/>
      <c r="AC36" s="170"/>
      <c r="AD36" s="170"/>
      <c r="AE36" s="180"/>
      <c r="AF36" s="85"/>
      <c r="AG36" s="85"/>
      <c r="AH36" s="85"/>
      <c r="AI36" s="131"/>
      <c r="AJ36" s="85"/>
      <c r="AK36" s="131">
        <f aca="false">+AI36/AJ36</f>
      </c>
      <c r="AL36" s="257"/>
      <c r="AM36" s="257"/>
      <c r="AN36" s="257"/>
      <c r="AO36" s="257"/>
      <c r="AP36" s="258"/>
      <c r="AQ36" s="85"/>
    </row>
    <row r="37" customFormat="false" ht="24" hidden="false" customHeight="true" outlineLevel="0" collapsed="false">
      <c r="A37" s="12"/>
      <c r="B37" s="259" t="s">
        <v>59</v>
      </c>
      <c r="C37" s="100" t="s">
        <v>49</v>
      </c>
      <c r="D37" s="249"/>
      <c r="E37" s="242"/>
      <c r="F37" s="260"/>
      <c r="G37" s="244"/>
      <c r="H37" s="16"/>
      <c r="I37" s="38" t="s">
        <v>19</v>
      </c>
      <c r="J37" s="261">
        <f aca="false">J29+J36</f>
      </c>
      <c r="K37" s="262">
        <f aca="false">+J37*0.3025</f>
      </c>
      <c r="L37" s="261">
        <f aca="false">L29+L36</f>
      </c>
      <c r="M37" s="262">
        <f aca="false">+L37*0.3025</f>
      </c>
      <c r="N37" s="263">
        <f aca="false">N29+N36</f>
      </c>
      <c r="O37" s="264">
        <f aca="false">+N37*0.3025</f>
      </c>
      <c r="P37" s="265">
        <f aca="false">P29+P36</f>
      </c>
      <c r="Q37" s="266">
        <f aca="false">+P37*0.3025</f>
      </c>
      <c r="R37" s="267">
        <f aca="false">R29+R36</f>
      </c>
      <c r="S37" s="268">
        <f aca="false">S29+S36</f>
      </c>
      <c r="T37" s="269">
        <f aca="false">T29+T36</f>
      </c>
      <c r="U37" s="261">
        <f aca="false">U29+U36</f>
      </c>
      <c r="V37" s="263">
        <f aca="false">V29+V36</f>
      </c>
      <c r="W37" s="263">
        <f aca="false">W29+W36</f>
      </c>
      <c r="X37" s="261">
        <f aca="false">X29+X36</f>
      </c>
      <c r="Y37" s="263">
        <f aca="false">Y29+Y36</f>
      </c>
      <c r="Z37" s="265">
        <f aca="false">Z29+Z36</f>
      </c>
      <c r="AA37" s="266">
        <f aca="false">+SUM(P37,T37,W37,X37,Y37,Z37)</f>
      </c>
      <c r="AB37" s="270"/>
      <c r="AC37" s="270"/>
      <c r="AD37" s="270"/>
      <c r="AE37" s="180"/>
      <c r="AF37" s="271"/>
      <c r="AG37" s="271"/>
      <c r="AH37" s="271"/>
      <c r="AI37" s="131">
        <f aca="false">+AH36+AK36+AK35</f>
      </c>
      <c r="AJ37" s="271"/>
      <c r="AK37" s="131"/>
      <c r="AL37" s="98"/>
      <c r="AM37" s="98"/>
      <c r="AN37" s="98"/>
      <c r="AO37" s="98"/>
      <c r="AP37" s="85"/>
      <c r="AQ37" s="85"/>
    </row>
    <row r="38" customFormat="false" ht="24" hidden="false" customHeight="true" outlineLevel="0" collapsed="false">
      <c r="A38" s="12"/>
      <c r="B38" s="272"/>
      <c r="C38" s="273" t="s">
        <v>55</v>
      </c>
      <c r="D38" s="274"/>
      <c r="E38" s="275"/>
      <c r="F38" s="276"/>
      <c r="G38" s="277"/>
      <c r="H38" s="16"/>
      <c r="I38" s="272"/>
      <c r="J38" s="278">
        <f aca="false">J37*0.3025</f>
      </c>
      <c r="K38" s="279"/>
      <c r="L38" s="278">
        <f aca="false">L37*0.3025</f>
      </c>
      <c r="M38" s="279"/>
      <c r="N38" s="280">
        <f aca="false">N37*0.3025</f>
      </c>
      <c r="O38" s="281"/>
      <c r="P38" s="282">
        <f aca="false">P37*0.3025</f>
      </c>
      <c r="Q38" s="283"/>
      <c r="R38" s="284">
        <f aca="false">R37*0.3025</f>
      </c>
      <c r="S38" s="285">
        <f aca="false">S37*0.3025</f>
      </c>
      <c r="T38" s="286">
        <f aca="false">T37*0.3025</f>
      </c>
      <c r="U38" s="278">
        <f aca="false">U37*0.3025</f>
      </c>
      <c r="V38" s="280">
        <f aca="false">V37*0.3025</f>
      </c>
      <c r="W38" s="280">
        <f aca="false">W37*0.3025</f>
      </c>
      <c r="X38" s="278">
        <f aca="false">X37*0.3025</f>
      </c>
      <c r="Y38" s="280">
        <f aca="false">Y37*0.3025</f>
      </c>
      <c r="Z38" s="282">
        <f aca="false">Z37*0.3025</f>
      </c>
      <c r="AA38" s="287">
        <f aca="false">AA37*0.3025</f>
      </c>
      <c r="AB38" s="270"/>
      <c r="AC38" s="270"/>
      <c r="AD38" s="270"/>
      <c r="AE38" s="180"/>
      <c r="AF38" s="102"/>
      <c r="AG38" s="102"/>
      <c r="AH38" s="102"/>
      <c r="AI38" s="103"/>
      <c r="AJ38" s="102"/>
      <c r="AK38" s="103"/>
      <c r="AL38" s="98"/>
      <c r="AM38" s="98"/>
      <c r="AN38" s="98"/>
      <c r="AO38" s="98"/>
      <c r="AP38" s="85"/>
      <c r="AQ38" s="85"/>
    </row>
    <row r="39" customFormat="false" ht="24" hidden="false" customHeight="true" outlineLevel="0" collapsed="false">
      <c r="A39" s="12"/>
      <c r="B39" s="288"/>
      <c r="C39" s="288"/>
      <c r="D39" s="288"/>
      <c r="E39" s="288"/>
      <c r="F39" s="288"/>
      <c r="G39" s="288"/>
      <c r="H39" s="288"/>
      <c r="I39" s="13"/>
      <c r="J39" s="289"/>
      <c r="K39" s="289"/>
      <c r="L39" s="289"/>
      <c r="M39" s="289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7"/>
      <c r="AG39" s="7"/>
      <c r="AH39" s="7"/>
      <c r="AI39" s="9"/>
      <c r="AJ39" s="7"/>
      <c r="AK39" s="9"/>
      <c r="AL39" s="85"/>
      <c r="AM39" s="85"/>
      <c r="AN39" s="85"/>
      <c r="AO39" s="85"/>
      <c r="AP39" s="85"/>
      <c r="AQ39" s="85"/>
    </row>
    <row r="40" customFormat="false" ht="24" hidden="true" customHeight="true" outlineLevel="0" collapsed="false">
      <c r="A40" s="12"/>
      <c r="B40" s="290" t="s">
        <v>60</v>
      </c>
      <c r="C40" s="291"/>
      <c r="D40" s="291"/>
      <c r="E40" s="291"/>
      <c r="F40" s="292"/>
      <c r="G40" s="291"/>
      <c r="H40" s="291"/>
      <c r="I40" s="293"/>
      <c r="J40" s="294"/>
      <c r="K40" s="294"/>
      <c r="L40" s="294"/>
      <c r="M40" s="294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5" t="s">
        <v>61</v>
      </c>
      <c r="AB40" s="16"/>
      <c r="AC40" s="16"/>
      <c r="AD40" s="16"/>
      <c r="AE40" s="16"/>
      <c r="AF40" s="85"/>
      <c r="AG40" s="85"/>
      <c r="AH40" s="85"/>
      <c r="AI40" s="131"/>
      <c r="AJ40" s="85"/>
      <c r="AK40" s="131"/>
      <c r="AL40" s="85"/>
      <c r="AM40" s="85"/>
      <c r="AN40" s="85"/>
      <c r="AO40" s="85"/>
      <c r="AP40" s="85"/>
      <c r="AQ40" s="85"/>
    </row>
    <row r="41" customFormat="false" ht="24" hidden="true" customHeight="true" outlineLevel="0" collapsed="false">
      <c r="A41" s="12"/>
      <c r="B41" s="296" t="s">
        <v>62</v>
      </c>
      <c r="C41" s="297" t="s">
        <v>63</v>
      </c>
      <c r="D41" s="297"/>
      <c r="E41" s="298" t="s">
        <v>64</v>
      </c>
      <c r="F41" s="298"/>
      <c r="G41" s="298" t="s">
        <v>65</v>
      </c>
      <c r="H41" s="298"/>
      <c r="I41" s="299" t="s">
        <v>16</v>
      </c>
      <c r="J41" s="299"/>
      <c r="K41" s="300"/>
      <c r="L41" s="300"/>
      <c r="M41" s="300"/>
      <c r="N41" s="296" t="s">
        <v>66</v>
      </c>
      <c r="O41" s="296"/>
      <c r="P41" s="296"/>
      <c r="Q41" s="300"/>
      <c r="R41" s="300"/>
      <c r="S41" s="300"/>
      <c r="T41" s="300"/>
      <c r="U41" s="296" t="s">
        <v>67</v>
      </c>
      <c r="V41" s="296"/>
      <c r="W41" s="300"/>
      <c r="X41" s="296" t="s">
        <v>68</v>
      </c>
      <c r="Y41" s="296"/>
      <c r="Z41" s="297" t="s">
        <v>69</v>
      </c>
      <c r="AA41" s="301" t="s">
        <v>70</v>
      </c>
      <c r="AB41" s="302"/>
      <c r="AC41" s="302"/>
      <c r="AD41" s="302"/>
      <c r="AE41" s="302"/>
      <c r="AF41" s="303"/>
      <c r="AG41" s="303"/>
      <c r="AH41" s="303"/>
      <c r="AI41" s="304"/>
      <c r="AJ41" s="303"/>
      <c r="AK41" s="304"/>
      <c r="AL41" s="85"/>
      <c r="AM41" s="85"/>
      <c r="AN41" s="85"/>
      <c r="AO41" s="85"/>
      <c r="AP41" s="85"/>
      <c r="AQ41" s="85"/>
    </row>
    <row r="42" customFormat="false" ht="24" hidden="true" customHeight="true" outlineLevel="0" collapsed="false">
      <c r="A42" s="305"/>
      <c r="B42" s="306" t="s">
        <v>71</v>
      </c>
      <c r="C42" s="307"/>
      <c r="D42" s="308"/>
      <c r="E42" s="309"/>
      <c r="F42" s="308"/>
      <c r="G42" s="309"/>
      <c r="H42" s="308"/>
      <c r="I42" s="309"/>
      <c r="J42" s="310"/>
      <c r="K42" s="311"/>
      <c r="L42" s="311"/>
      <c r="M42" s="311"/>
      <c r="N42" s="312"/>
      <c r="O42" s="313"/>
      <c r="P42" s="314"/>
      <c r="Q42" s="315"/>
      <c r="R42" s="315"/>
      <c r="S42" s="315"/>
      <c r="T42" s="315"/>
      <c r="U42" s="307"/>
      <c r="V42" s="310"/>
      <c r="W42" s="311"/>
      <c r="X42" s="312"/>
      <c r="Y42" s="314"/>
      <c r="Z42" s="316"/>
      <c r="AA42" s="317"/>
      <c r="AB42" s="302"/>
      <c r="AC42" s="302"/>
      <c r="AD42" s="302"/>
      <c r="AE42" s="302"/>
      <c r="AF42" s="303"/>
      <c r="AG42" s="303"/>
      <c r="AH42" s="303"/>
      <c r="AI42" s="304"/>
      <c r="AJ42" s="303"/>
      <c r="AK42" s="304"/>
      <c r="AL42" s="85"/>
      <c r="AM42" s="85"/>
      <c r="AN42" s="85"/>
      <c r="AO42" s="85"/>
      <c r="AP42" s="85"/>
      <c r="AQ42" s="85"/>
    </row>
    <row r="43" customFormat="false" ht="24" hidden="true" customHeight="true" outlineLevel="0" collapsed="false">
      <c r="A43" s="305"/>
      <c r="B43" s="318" t="s">
        <v>11</v>
      </c>
      <c r="C43" s="319"/>
      <c r="D43" s="320"/>
      <c r="E43" s="321"/>
      <c r="F43" s="320"/>
      <c r="G43" s="321"/>
      <c r="H43" s="320"/>
      <c r="I43" s="321"/>
      <c r="J43" s="322"/>
      <c r="K43" s="323"/>
      <c r="L43" s="323"/>
      <c r="M43" s="323"/>
      <c r="N43" s="324"/>
      <c r="O43" s="325"/>
      <c r="P43" s="326"/>
      <c r="Q43" s="327"/>
      <c r="R43" s="327"/>
      <c r="S43" s="327"/>
      <c r="T43" s="327"/>
      <c r="U43" s="319"/>
      <c r="V43" s="322"/>
      <c r="W43" s="323"/>
      <c r="X43" s="324"/>
      <c r="Y43" s="326"/>
      <c r="Z43" s="328"/>
      <c r="AA43" s="317"/>
      <c r="AB43" s="329"/>
      <c r="AC43" s="329"/>
      <c r="AD43" s="329"/>
      <c r="AE43" s="329"/>
      <c r="AF43" s="330"/>
      <c r="AG43" s="330"/>
      <c r="AH43" s="330"/>
      <c r="AI43" s="331"/>
      <c r="AJ43" s="330"/>
      <c r="AK43" s="331"/>
      <c r="AL43" s="85"/>
      <c r="AM43" s="85"/>
      <c r="AN43" s="85"/>
      <c r="AO43" s="85"/>
      <c r="AP43" s="85"/>
      <c r="AQ43" s="85"/>
    </row>
    <row r="44" customFormat="false" ht="24" hidden="true" customHeight="true" outlineLevel="0" collapsed="false">
      <c r="A44" s="305"/>
      <c r="B44" s="332" t="s">
        <v>72</v>
      </c>
      <c r="C44" s="333">
        <f aca="false">C42+C43</f>
      </c>
      <c r="D44" s="334">
        <f aca="false">C44*0.3025</f>
      </c>
      <c r="E44" s="335">
        <f aca="false">E42+E43</f>
      </c>
      <c r="F44" s="334">
        <f aca="false">E44*0.3025</f>
      </c>
      <c r="G44" s="336">
        <f aca="false">G42+G43</f>
      </c>
      <c r="H44" s="334">
        <f aca="false">G44*0.3025</f>
      </c>
      <c r="I44" s="336">
        <f aca="false">I42+I43</f>
      </c>
      <c r="J44" s="337">
        <f aca="false">I44*0.3025</f>
      </c>
      <c r="K44" s="338"/>
      <c r="L44" s="338"/>
      <c r="M44" s="338"/>
      <c r="N44" s="339">
        <f aca="false">SUM(N42:N43)</f>
      </c>
      <c r="O44" s="340"/>
      <c r="P44" s="337">
        <f aca="false">N44*0.3025</f>
      </c>
      <c r="Q44" s="338"/>
      <c r="R44" s="338"/>
      <c r="S44" s="338"/>
      <c r="T44" s="338"/>
      <c r="U44" s="333"/>
      <c r="V44" s="337">
        <f aca="false">U44*0.3025</f>
      </c>
      <c r="W44" s="338"/>
      <c r="X44" s="333">
        <f aca="false">N44+U44</f>
      </c>
      <c r="Y44" s="337">
        <f aca="false">X44*0.3025</f>
      </c>
      <c r="Z44" s="341">
        <f aca="false">SUM(Z42:Z43)</f>
      </c>
      <c r="AA44" s="342">
        <f aca="false">SUM(AA42:AA43)</f>
      </c>
      <c r="AB44" s="329"/>
      <c r="AC44" s="329"/>
      <c r="AD44" s="329"/>
      <c r="AE44" s="329"/>
      <c r="AF44" s="330"/>
      <c r="AG44" s="330"/>
      <c r="AH44" s="330"/>
      <c r="AI44" s="331"/>
      <c r="AJ44" s="330"/>
      <c r="AK44" s="331"/>
      <c r="AL44" s="85"/>
      <c r="AM44" s="85"/>
      <c r="AN44" s="85"/>
      <c r="AO44" s="85"/>
      <c r="AP44" s="85"/>
      <c r="AQ44" s="85"/>
    </row>
    <row r="45" customFormat="false" ht="24" hidden="false" customHeight="true" outlineLevel="0" collapsed="false">
      <c r="A45" s="5"/>
      <c r="B45" s="343"/>
      <c r="C45" s="344"/>
      <c r="D45" s="302"/>
      <c r="E45" s="302"/>
      <c r="F45" s="329"/>
      <c r="G45" s="302"/>
      <c r="H45" s="288"/>
      <c r="I45" s="13"/>
      <c r="J45" s="343"/>
      <c r="K45" s="343"/>
      <c r="L45" s="343"/>
      <c r="M45" s="343"/>
      <c r="N45" s="343"/>
      <c r="O45" s="343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345"/>
      <c r="AA45" s="343"/>
      <c r="AB45" s="346"/>
      <c r="AC45" s="346"/>
      <c r="AD45" s="346"/>
      <c r="AE45" s="346"/>
      <c r="AF45" s="331"/>
      <c r="AG45" s="331"/>
      <c r="AH45" s="331"/>
      <c r="AI45" s="331"/>
      <c r="AJ45" s="331"/>
      <c r="AK45" s="331"/>
      <c r="AL45" s="85"/>
      <c r="AM45" s="85"/>
      <c r="AN45" s="85"/>
      <c r="AO45" s="85"/>
      <c r="AP45" s="85"/>
      <c r="AQ45" s="85"/>
    </row>
    <row r="46" customFormat="false" ht="24" hidden="false" customHeight="true" outlineLevel="0" collapsed="false">
      <c r="A46" s="5"/>
      <c r="B46" s="347" t="s">
        <v>73</v>
      </c>
      <c r="C46" s="347"/>
      <c r="D46" s="347"/>
      <c r="E46" s="347"/>
      <c r="F46" s="347"/>
      <c r="G46" s="302"/>
      <c r="H46" s="288"/>
      <c r="I46" s="13"/>
      <c r="J46" s="343"/>
      <c r="K46" s="343"/>
      <c r="L46" s="343"/>
      <c r="M46" s="343"/>
      <c r="N46" s="343"/>
      <c r="O46" s="343"/>
      <c r="P46" s="302"/>
      <c r="Q46" s="302"/>
      <c r="R46" s="302"/>
      <c r="S46" s="302"/>
      <c r="T46" s="302"/>
      <c r="U46" s="329"/>
      <c r="V46" s="302"/>
      <c r="W46" s="302"/>
      <c r="X46" s="329"/>
      <c r="Y46" s="302"/>
      <c r="Z46" s="329"/>
      <c r="AA46" s="295"/>
      <c r="AB46" s="329"/>
      <c r="AC46" s="329"/>
      <c r="AD46" s="295" t="s">
        <v>61</v>
      </c>
      <c r="AE46" s="348"/>
      <c r="AF46" s="116"/>
      <c r="AG46" s="116"/>
      <c r="AH46" s="116"/>
      <c r="AI46" s="117"/>
      <c r="AJ46" s="116"/>
      <c r="AK46" s="117"/>
      <c r="AL46" s="85"/>
      <c r="AM46" s="85"/>
      <c r="AN46" s="85"/>
      <c r="AO46" s="85"/>
      <c r="AP46" s="85"/>
      <c r="AQ46" s="85"/>
    </row>
    <row r="47" s="366" customFormat="true" ht="24" hidden="false" customHeight="true" outlineLevel="0" collapsed="false">
      <c r="A47" s="374"/>
      <c r="B47" s="296" t="s">
        <v>62</v>
      </c>
      <c r="C47" s="350" t="s">
        <v>74</v>
      </c>
      <c r="D47" s="301" t="s">
        <v>63</v>
      </c>
      <c r="E47" s="299" t="s">
        <v>75</v>
      </c>
      <c r="F47" s="351" t="s">
        <v>76</v>
      </c>
      <c r="G47" s="351"/>
      <c r="H47" s="352" t="s">
        <v>77</v>
      </c>
      <c r="I47" s="352"/>
      <c r="J47" s="353" t="s">
        <v>78</v>
      </c>
      <c r="K47" s="353"/>
      <c r="L47" s="353"/>
      <c r="M47" s="353"/>
      <c r="N47" s="353"/>
      <c r="O47" s="353"/>
      <c r="P47" s="354" t="s">
        <v>79</v>
      </c>
      <c r="Q47" s="354"/>
      <c r="R47" s="355"/>
      <c r="S47" s="355"/>
      <c r="T47" s="355"/>
      <c r="U47" s="355"/>
      <c r="V47" s="356"/>
      <c r="W47" s="357"/>
      <c r="X47" s="358"/>
      <c r="Y47" s="296" t="s">
        <v>68</v>
      </c>
      <c r="Z47" s="296"/>
      <c r="AA47" s="359" t="s">
        <v>79</v>
      </c>
      <c r="AB47" s="360" t="s">
        <v>80</v>
      </c>
      <c r="AC47" s="360"/>
      <c r="AD47" s="361" t="s">
        <v>81</v>
      </c>
      <c r="AE47" s="362"/>
      <c r="AF47" s="363"/>
      <c r="AG47" s="363"/>
      <c r="AH47" s="363"/>
      <c r="AI47" s="364"/>
      <c r="AJ47" s="363"/>
      <c r="AK47" s="364"/>
      <c r="AL47" s="365"/>
      <c r="AM47" s="365"/>
      <c r="AN47" s="365"/>
      <c r="AO47" s="365"/>
      <c r="AP47" s="365"/>
      <c r="AQ47" s="365"/>
    </row>
    <row r="48" s="366" customFormat="true" ht="24" hidden="false" customHeight="true" outlineLevel="0" collapsed="false">
      <c r="A48" s="374"/>
      <c r="B48" s="296"/>
      <c r="C48" s="350"/>
      <c r="D48" s="301"/>
      <c r="E48" s="299"/>
      <c r="F48" s="367" t="s">
        <v>82</v>
      </c>
      <c r="G48" s="367"/>
      <c r="H48" s="352"/>
      <c r="I48" s="352"/>
      <c r="J48" s="368" t="s">
        <v>83</v>
      </c>
      <c r="K48" s="368"/>
      <c r="L48" s="368"/>
      <c r="M48" s="368"/>
      <c r="N48" s="368"/>
      <c r="O48" s="368"/>
      <c r="P48" s="369" t="s">
        <v>84</v>
      </c>
      <c r="Q48" s="369"/>
      <c r="R48" s="370"/>
      <c r="S48" s="368" t="s">
        <v>17</v>
      </c>
      <c r="T48" s="368"/>
      <c r="U48" s="368" t="s">
        <v>85</v>
      </c>
      <c r="V48" s="368"/>
      <c r="W48" s="371"/>
      <c r="X48" s="372"/>
      <c r="Y48" s="296"/>
      <c r="Z48" s="296"/>
      <c r="AA48" s="359"/>
      <c r="AB48" s="360"/>
      <c r="AC48" s="360"/>
      <c r="AD48" s="361"/>
      <c r="AE48" s="373"/>
      <c r="AF48" s="116"/>
      <c r="AG48" s="116"/>
      <c r="AH48" s="116"/>
      <c r="AI48" s="117"/>
      <c r="AJ48" s="330"/>
      <c r="AK48" s="331"/>
      <c r="AL48" s="374" t="s">
        <v>14</v>
      </c>
      <c r="AM48" s="374"/>
      <c r="AN48" s="374"/>
      <c r="AO48" s="374"/>
      <c r="AP48" s="365"/>
      <c r="AQ48" s="365"/>
    </row>
    <row r="49" s="366" customFormat="true" ht="24" hidden="false" customHeight="true" outlineLevel="0" collapsed="false">
      <c r="A49" s="374"/>
      <c r="B49" s="375" t="s">
        <v>86</v>
      </c>
      <c r="C49" s="376"/>
      <c r="D49" s="377"/>
      <c r="E49" s="378">
        <f aca="false">C49/$C$59</f>
      </c>
      <c r="F49" s="379"/>
      <c r="G49" s="380">
        <f aca="false">F49*0.3025</f>
      </c>
      <c r="H49" s="381">
        <f aca="false">+D49+F49</f>
      </c>
      <c r="I49" s="382">
        <f aca="false">H49*0.3025</f>
      </c>
      <c r="J49" s="383"/>
      <c r="K49" s="383"/>
      <c r="L49" s="383"/>
      <c r="M49" s="383"/>
      <c r="N49" s="383"/>
      <c r="O49" s="383"/>
      <c r="P49" s="384"/>
      <c r="Q49" s="382">
        <f aca="false">P49*0.3025</f>
      </c>
      <c r="R49" s="382">
        <f aca="false">P49*0.3025</f>
      </c>
      <c r="S49" s="384">
        <f aca="false">ROUND(D49/$D$59*$S$59,2)</f>
      </c>
      <c r="T49" s="382">
        <f aca="false">S49*0.3025</f>
      </c>
      <c r="U49" s="385">
        <f aca="false">J49+P49+S49</f>
      </c>
      <c r="V49" s="382">
        <f aca="false">U49*0.3025</f>
      </c>
      <c r="W49" s="386"/>
      <c r="X49" s="382"/>
      <c r="Y49" s="387">
        <f aca="false">H49+U49</f>
      </c>
      <c r="Z49" s="388">
        <f aca="false">Y49*0.3025</f>
      </c>
      <c r="AA49" s="389">
        <f aca="false">+AL49</f>
      </c>
      <c r="AB49" s="390">
        <f aca="false">+H49+P49</f>
      </c>
      <c r="AC49" s="380">
        <f aca="false">AB49*0.3025</f>
      </c>
      <c r="AD49" s="391"/>
      <c r="AE49" s="392"/>
      <c r="AF49" s="363"/>
      <c r="AG49" s="363"/>
      <c r="AH49" s="363"/>
      <c r="AI49" s="364"/>
      <c r="AJ49" s="363"/>
      <c r="AK49" s="364"/>
      <c r="AL49" s="365">
        <f aca="false">SUM(AF49:AK49)</f>
      </c>
      <c r="AM49" s="365"/>
      <c r="AN49" s="365"/>
      <c r="AO49" s="365"/>
      <c r="AP49" s="365"/>
      <c r="AQ49" s="365"/>
    </row>
    <row r="50" s="366" customFormat="true" ht="24" hidden="false" customHeight="true" outlineLevel="0" collapsed="false">
      <c r="A50" s="374"/>
      <c r="B50" s="375" t="s">
        <v>87</v>
      </c>
      <c r="C50" s="376"/>
      <c r="D50" s="377"/>
      <c r="E50" s="378">
        <f aca="false">C50/$C$59</f>
      </c>
      <c r="F50" s="379"/>
      <c r="G50" s="380">
        <f aca="false">F50*0.3025</f>
      </c>
      <c r="H50" s="381">
        <f aca="false">+D50+F50</f>
      </c>
      <c r="I50" s="382">
        <f aca="false">H50*0.3025</f>
      </c>
      <c r="J50" s="383"/>
      <c r="K50" s="383"/>
      <c r="L50" s="383"/>
      <c r="M50" s="383"/>
      <c r="N50" s="383"/>
      <c r="O50" s="383"/>
      <c r="P50" s="384"/>
      <c r="Q50" s="382">
        <f aca="false">P50*0.3025</f>
      </c>
      <c r="R50" s="382">
        <f aca="false">P50*0.3025</f>
      </c>
      <c r="S50" s="384">
        <f aca="false">ROUND(D50/$D$59*$S$59,2)</f>
      </c>
      <c r="T50" s="382">
        <f aca="false">S50*0.3025</f>
      </c>
      <c r="U50" s="385">
        <f aca="false">J50+P50+S50</f>
      </c>
      <c r="V50" s="382">
        <f aca="false">U50*0.3025</f>
      </c>
      <c r="W50" s="393"/>
      <c r="X50" s="382"/>
      <c r="Y50" s="387">
        <f aca="false">H50+U50</f>
      </c>
      <c r="Z50" s="388">
        <f aca="false">Y50*0.3025</f>
      </c>
      <c r="AA50" s="394"/>
      <c r="AB50" s="390">
        <f aca="false">+H50+P50</f>
      </c>
      <c r="AC50" s="380">
        <f aca="false">AB50*0.3025</f>
      </c>
      <c r="AD50" s="391"/>
      <c r="AE50" s="395"/>
      <c r="AF50" s="330"/>
      <c r="AG50" s="330"/>
      <c r="AH50" s="363"/>
      <c r="AI50" s="364"/>
      <c r="AJ50" s="363"/>
      <c r="AK50" s="364"/>
      <c r="AL50" s="396">
        <f aca="false">SUM(AH50:AK50)</f>
      </c>
      <c r="AM50" s="365"/>
      <c r="AN50" s="365"/>
      <c r="AO50" s="365"/>
      <c r="AP50" s="365"/>
      <c r="AQ50" s="365"/>
    </row>
    <row r="51" s="366" customFormat="true" ht="24" hidden="false" customHeight="true" outlineLevel="0" collapsed="false">
      <c r="A51" s="374"/>
      <c r="B51" s="375" t="s">
        <v>88</v>
      </c>
      <c r="C51" s="376"/>
      <c r="D51" s="377"/>
      <c r="E51" s="378">
        <f aca="false">C51/$C$59</f>
      </c>
      <c r="F51" s="379"/>
      <c r="G51" s="380">
        <f aca="false">F51*0.3025</f>
      </c>
      <c r="H51" s="381">
        <f aca="false">+D51+F51</f>
      </c>
      <c r="I51" s="382">
        <f aca="false">H51*0.3025</f>
      </c>
      <c r="J51" s="383"/>
      <c r="K51" s="383"/>
      <c r="L51" s="383"/>
      <c r="M51" s="383"/>
      <c r="N51" s="383"/>
      <c r="O51" s="383"/>
      <c r="P51" s="384"/>
      <c r="Q51" s="382">
        <f aca="false">P51*0.3025</f>
      </c>
      <c r="R51" s="382">
        <f aca="false">P51*0.3025</f>
      </c>
      <c r="S51" s="384">
        <f aca="false">ROUND(D51/$D$59*$S$59,2)</f>
      </c>
      <c r="T51" s="382">
        <f aca="false">S51*0.3025</f>
      </c>
      <c r="U51" s="385">
        <f aca="false">J51+P51+S51</f>
      </c>
      <c r="V51" s="382">
        <f aca="false">U51*0.3025</f>
      </c>
      <c r="W51" s="397"/>
      <c r="X51" s="398"/>
      <c r="Y51" s="387">
        <f aca="false">H51+U51</f>
      </c>
      <c r="Z51" s="388">
        <f aca="false">Y51*0.3025</f>
      </c>
      <c r="AA51" s="394"/>
      <c r="AB51" s="390">
        <f aca="false">+H51+P51</f>
      </c>
      <c r="AC51" s="380">
        <f aca="false">AB51*0.3025</f>
      </c>
      <c r="AD51" s="391"/>
      <c r="AE51" s="399"/>
      <c r="AF51" s="330"/>
      <c r="AG51" s="330"/>
      <c r="AH51" s="363"/>
      <c r="AI51" s="364"/>
      <c r="AJ51" s="363"/>
      <c r="AK51" s="364"/>
      <c r="AL51" s="396">
        <f aca="false">SUM(AH51:AK51)</f>
      </c>
      <c r="AM51" s="365"/>
      <c r="AN51" s="365"/>
      <c r="AO51" s="365"/>
      <c r="AP51" s="365"/>
      <c r="AQ51" s="365"/>
    </row>
    <row r="52" s="366" customFormat="true" ht="24" hidden="false" customHeight="true" outlineLevel="0" collapsed="false">
      <c r="A52" s="374"/>
      <c r="B52" s="375" t="s">
        <v>89</v>
      </c>
      <c r="C52" s="376"/>
      <c r="D52" s="377"/>
      <c r="E52" s="378">
        <f aca="false">C52/$C$59</f>
      </c>
      <c r="F52" s="379"/>
      <c r="G52" s="380">
        <f aca="false">F52*0.3025</f>
      </c>
      <c r="H52" s="381">
        <f aca="false">+D52+F52</f>
      </c>
      <c r="I52" s="382">
        <f aca="false">H52*0.3025</f>
      </c>
      <c r="J52" s="383"/>
      <c r="K52" s="383"/>
      <c r="L52" s="383"/>
      <c r="M52" s="383"/>
      <c r="N52" s="383"/>
      <c r="O52" s="383"/>
      <c r="P52" s="384"/>
      <c r="Q52" s="382">
        <f aca="false">P52*0.3025</f>
      </c>
      <c r="R52" s="382"/>
      <c r="S52" s="384"/>
      <c r="T52" s="382"/>
      <c r="U52" s="385"/>
      <c r="V52" s="382"/>
      <c r="W52" s="397"/>
      <c r="X52" s="398"/>
      <c r="Y52" s="387"/>
      <c r="Z52" s="388"/>
      <c r="AA52" s="389"/>
      <c r="AB52" s="390">
        <f aca="false">+H52+P52</f>
      </c>
      <c r="AC52" s="380">
        <f aca="false">AB52*0.3025</f>
      </c>
      <c r="AD52" s="400"/>
      <c r="AE52" s="399"/>
      <c r="AF52" s="330"/>
      <c r="AG52" s="330"/>
      <c r="AH52" s="330"/>
      <c r="AI52" s="331"/>
      <c r="AJ52" s="330"/>
      <c r="AK52" s="331"/>
      <c r="AL52" s="365"/>
      <c r="AM52" s="365"/>
      <c r="AN52" s="365"/>
      <c r="AO52" s="365"/>
      <c r="AP52" s="365"/>
      <c r="AQ52" s="365"/>
    </row>
    <row r="53" s="366" customFormat="true" ht="24" hidden="true" customHeight="true" outlineLevel="0" collapsed="false">
      <c r="A53" s="374"/>
      <c r="B53" s="375"/>
      <c r="C53" s="376"/>
      <c r="D53" s="377"/>
      <c r="E53" s="378"/>
      <c r="F53" s="379"/>
      <c r="G53" s="380"/>
      <c r="H53" s="381"/>
      <c r="I53" s="382"/>
      <c r="J53" s="383"/>
      <c r="K53" s="383"/>
      <c r="L53" s="383"/>
      <c r="M53" s="383"/>
      <c r="N53" s="383"/>
      <c r="O53" s="383"/>
      <c r="P53" s="384"/>
      <c r="Q53" s="401"/>
      <c r="R53" s="382"/>
      <c r="S53" s="384"/>
      <c r="T53" s="382"/>
      <c r="U53" s="385"/>
      <c r="V53" s="382"/>
      <c r="W53" s="397"/>
      <c r="X53" s="398"/>
      <c r="Y53" s="387"/>
      <c r="Z53" s="388"/>
      <c r="AA53" s="394"/>
      <c r="AB53" s="390"/>
      <c r="AC53" s="380"/>
      <c r="AD53" s="400"/>
      <c r="AE53" s="399"/>
      <c r="AF53" s="330"/>
      <c r="AG53" s="330"/>
      <c r="AH53" s="330"/>
      <c r="AI53" s="331"/>
      <c r="AJ53" s="330"/>
      <c r="AK53" s="331"/>
      <c r="AL53" s="365"/>
      <c r="AM53" s="365"/>
      <c r="AN53" s="365"/>
      <c r="AO53" s="365"/>
      <c r="AP53" s="365"/>
      <c r="AQ53" s="365"/>
    </row>
    <row r="54" s="366" customFormat="true" ht="24" hidden="true" customHeight="true" outlineLevel="0" collapsed="false">
      <c r="A54" s="374"/>
      <c r="B54" s="375"/>
      <c r="C54" s="376"/>
      <c r="D54" s="377"/>
      <c r="E54" s="378"/>
      <c r="F54" s="379"/>
      <c r="G54" s="380"/>
      <c r="H54" s="381"/>
      <c r="I54" s="382"/>
      <c r="J54" s="383"/>
      <c r="K54" s="383"/>
      <c r="L54" s="383"/>
      <c r="M54" s="383"/>
      <c r="N54" s="383"/>
      <c r="O54" s="383"/>
      <c r="P54" s="384"/>
      <c r="Q54" s="401"/>
      <c r="R54" s="382"/>
      <c r="S54" s="384"/>
      <c r="T54" s="382"/>
      <c r="U54" s="385"/>
      <c r="V54" s="382"/>
      <c r="W54" s="397"/>
      <c r="X54" s="398"/>
      <c r="Y54" s="387"/>
      <c r="Z54" s="388"/>
      <c r="AA54" s="394"/>
      <c r="AB54" s="390"/>
      <c r="AC54" s="380"/>
      <c r="AD54" s="400"/>
      <c r="AE54" s="399"/>
      <c r="AF54" s="330"/>
      <c r="AG54" s="330"/>
      <c r="AH54" s="330"/>
      <c r="AI54" s="331"/>
      <c r="AJ54" s="330"/>
      <c r="AK54" s="331"/>
      <c r="AL54" s="365"/>
      <c r="AM54" s="365"/>
      <c r="AN54" s="365"/>
      <c r="AO54" s="365"/>
      <c r="AP54" s="365"/>
      <c r="AQ54" s="365"/>
    </row>
    <row r="55" s="366" customFormat="true" ht="24" hidden="true" customHeight="true" outlineLevel="0" collapsed="false">
      <c r="A55" s="374"/>
      <c r="B55" s="375"/>
      <c r="C55" s="376"/>
      <c r="D55" s="377"/>
      <c r="E55" s="398">
        <f aca="false">C55/$C$59</f>
      </c>
      <c r="F55" s="402">
        <f aca="false">ROUND(D55/$D$59*($N$29+$S$29)+D55*0.02,2)</f>
      </c>
      <c r="G55" s="403">
        <f aca="false">F55*0.3025</f>
      </c>
      <c r="H55" s="404">
        <f aca="false">+D55+F55</f>
      </c>
      <c r="I55" s="398">
        <f aca="false">H55*0.3025</f>
      </c>
      <c r="J55" s="383"/>
      <c r="K55" s="383"/>
      <c r="L55" s="383"/>
      <c r="M55" s="383"/>
      <c r="N55" s="383"/>
      <c r="O55" s="383"/>
      <c r="P55" s="402"/>
      <c r="Q55" s="397"/>
      <c r="R55" s="398">
        <f aca="false">P55*0.3025</f>
      </c>
      <c r="S55" s="402">
        <f aca="false">ROUND(D55/$D$59*$S$59,2)</f>
      </c>
      <c r="T55" s="398">
        <f aca="false">S55*0.3025</f>
      </c>
      <c r="U55" s="405">
        <f aca="false">J55+P55+S55</f>
      </c>
      <c r="V55" s="398">
        <f aca="false">U55*0.3025</f>
      </c>
      <c r="W55" s="397"/>
      <c r="X55" s="398"/>
      <c r="Y55" s="406">
        <f aca="false">H55+U55</f>
      </c>
      <c r="Z55" s="256">
        <f aca="false">Y55*0.3025</f>
      </c>
      <c r="AA55" s="389"/>
      <c r="AB55" s="407">
        <f aca="false">+D55+AA55</f>
      </c>
      <c r="AC55" s="403">
        <f aca="false">AB55*0.3025</f>
      </c>
      <c r="AD55" s="400"/>
      <c r="AE55" s="399"/>
      <c r="AF55" s="330"/>
      <c r="AG55" s="330"/>
      <c r="AH55" s="330"/>
      <c r="AI55" s="331"/>
      <c r="AJ55" s="330"/>
      <c r="AK55" s="331"/>
      <c r="AL55" s="365"/>
      <c r="AM55" s="365"/>
      <c r="AN55" s="365"/>
      <c r="AO55" s="365"/>
      <c r="AP55" s="365"/>
      <c r="AQ55" s="365"/>
    </row>
    <row r="56" s="366" customFormat="true" ht="24" hidden="true" customHeight="true" outlineLevel="0" collapsed="false">
      <c r="A56" s="374"/>
      <c r="B56" s="375"/>
      <c r="C56" s="376"/>
      <c r="D56" s="377"/>
      <c r="E56" s="398">
        <f aca="false">C56/$C$59</f>
      </c>
      <c r="F56" s="402">
        <f aca="false">ROUND(D56/$D$59*($N$29+$S$29)+D56*0.02,2)</f>
      </c>
      <c r="G56" s="403">
        <f aca="false">F56*0.3025</f>
      </c>
      <c r="H56" s="404">
        <f aca="false">+D56+F56</f>
      </c>
      <c r="I56" s="398">
        <f aca="false">H56*0.3025</f>
      </c>
      <c r="J56" s="383"/>
      <c r="K56" s="383"/>
      <c r="L56" s="383"/>
      <c r="M56" s="383"/>
      <c r="N56" s="383"/>
      <c r="O56" s="383"/>
      <c r="P56" s="402"/>
      <c r="Q56" s="397"/>
      <c r="R56" s="398">
        <f aca="false">P56*0.3025</f>
      </c>
      <c r="S56" s="402">
        <f aca="false">ROUND(D56/$D$59*$S$59,2)</f>
      </c>
      <c r="T56" s="398">
        <f aca="false">S56*0.3025</f>
      </c>
      <c r="U56" s="405">
        <f aca="false">J56+P56+S56</f>
      </c>
      <c r="V56" s="398">
        <f aca="false">U56*0.3025</f>
      </c>
      <c r="W56" s="397"/>
      <c r="X56" s="398"/>
      <c r="Y56" s="406">
        <f aca="false">H56+U56</f>
      </c>
      <c r="Z56" s="256">
        <f aca="false">Y56*0.3025</f>
      </c>
      <c r="AA56" s="394"/>
      <c r="AB56" s="407">
        <f aca="false">+D56+AA56</f>
      </c>
      <c r="AC56" s="403">
        <f aca="false">AB56*0.3025</f>
      </c>
      <c r="AD56" s="400"/>
      <c r="AE56" s="399"/>
      <c r="AF56" s="330"/>
      <c r="AG56" s="330"/>
      <c r="AH56" s="330"/>
      <c r="AI56" s="331"/>
      <c r="AJ56" s="330"/>
      <c r="AK56" s="331"/>
      <c r="AL56" s="365"/>
      <c r="AM56" s="365"/>
      <c r="AN56" s="365"/>
      <c r="AO56" s="365"/>
      <c r="AP56" s="365"/>
      <c r="AQ56" s="365"/>
    </row>
    <row r="57" s="366" customFormat="true" ht="24" hidden="true" customHeight="true" outlineLevel="0" collapsed="false">
      <c r="A57" s="374"/>
      <c r="B57" s="375"/>
      <c r="C57" s="376"/>
      <c r="D57" s="377"/>
      <c r="E57" s="398">
        <f aca="false">C57/$C$59</f>
      </c>
      <c r="F57" s="402">
        <f aca="false">ROUND(D57/$D$59*($N$29+$S$29)+D57*0.02,2)</f>
      </c>
      <c r="G57" s="403">
        <f aca="false">F57*0.3025</f>
      </c>
      <c r="H57" s="404">
        <f aca="false">+D57+F57</f>
      </c>
      <c r="I57" s="398">
        <f aca="false">H57*0.3025</f>
      </c>
      <c r="J57" s="383"/>
      <c r="K57" s="383"/>
      <c r="L57" s="383"/>
      <c r="M57" s="383"/>
      <c r="N57" s="383"/>
      <c r="O57" s="383"/>
      <c r="P57" s="402"/>
      <c r="Q57" s="397"/>
      <c r="R57" s="398">
        <f aca="false">P57*0.3025</f>
      </c>
      <c r="S57" s="402">
        <f aca="false">ROUND(D57/$D$59*$S$59,2)</f>
      </c>
      <c r="T57" s="398">
        <f aca="false">S57*0.3025</f>
      </c>
      <c r="U57" s="405">
        <f aca="false">J57+P57+S57</f>
      </c>
      <c r="V57" s="398">
        <f aca="false">U57*0.3025</f>
      </c>
      <c r="W57" s="397"/>
      <c r="X57" s="398"/>
      <c r="Y57" s="406">
        <f aca="false">H57+U57</f>
      </c>
      <c r="Z57" s="256">
        <f aca="false">Y57*0.3025</f>
      </c>
      <c r="AA57" s="394"/>
      <c r="AB57" s="407">
        <f aca="false">+D57+AA57</f>
      </c>
      <c r="AC57" s="403">
        <f aca="false">AB57*0.3025</f>
      </c>
      <c r="AD57" s="400"/>
      <c r="AE57" s="399"/>
      <c r="AF57" s="330"/>
      <c r="AG57" s="330"/>
      <c r="AH57" s="330"/>
      <c r="AI57" s="331"/>
      <c r="AJ57" s="330"/>
      <c r="AK57" s="331"/>
      <c r="AL57" s="365"/>
      <c r="AM57" s="365"/>
      <c r="AN57" s="365"/>
      <c r="AO57" s="365"/>
      <c r="AP57" s="365"/>
      <c r="AQ57" s="365"/>
    </row>
    <row r="58" s="366" customFormat="true" ht="24" hidden="false" customHeight="true" outlineLevel="0" collapsed="false">
      <c r="A58" s="374"/>
      <c r="B58" s="375"/>
      <c r="C58" s="376"/>
      <c r="D58" s="377"/>
      <c r="E58" s="398">
        <f aca="false">C58/$C$59</f>
      </c>
      <c r="F58" s="402">
        <f aca="false">ROUND(D58/$D$59*$N$29+D58*0.02,2)</f>
      </c>
      <c r="G58" s="403">
        <f aca="false">F58*0.3025</f>
      </c>
      <c r="H58" s="404">
        <f aca="false">+D58+F58</f>
      </c>
      <c r="I58" s="398">
        <f aca="false">H58*0.3025</f>
      </c>
      <c r="J58" s="383"/>
      <c r="K58" s="383"/>
      <c r="L58" s="383"/>
      <c r="M58" s="383"/>
      <c r="N58" s="383"/>
      <c r="O58" s="383"/>
      <c r="P58" s="402"/>
      <c r="Q58" s="397"/>
      <c r="R58" s="398">
        <f aca="false">P58*0.3025</f>
      </c>
      <c r="S58" s="402">
        <f aca="false">ROUND(D58/$D$59*$S$59,2)</f>
      </c>
      <c r="T58" s="398">
        <f aca="false">S58*0.3025</f>
      </c>
      <c r="U58" s="405">
        <f aca="false">J58+P58+S58</f>
      </c>
      <c r="V58" s="398">
        <f aca="false">U58*0.3025</f>
      </c>
      <c r="W58" s="397"/>
      <c r="X58" s="398"/>
      <c r="Y58" s="406">
        <f aca="false">H58+U58</f>
      </c>
      <c r="Z58" s="256">
        <f aca="false">Y58*0.3025</f>
      </c>
      <c r="AA58" s="389"/>
      <c r="AB58" s="407">
        <f aca="false">+D58+AA58</f>
      </c>
      <c r="AC58" s="403">
        <f aca="false">AB58*0.3025</f>
      </c>
      <c r="AD58" s="400"/>
      <c r="AE58" s="399"/>
      <c r="AF58" s="330"/>
      <c r="AG58" s="330"/>
      <c r="AH58" s="330"/>
      <c r="AI58" s="331"/>
      <c r="AJ58" s="330"/>
      <c r="AK58" s="331"/>
      <c r="AL58" s="365"/>
      <c r="AM58" s="365"/>
      <c r="AN58" s="365"/>
      <c r="AO58" s="365"/>
      <c r="AP58" s="365"/>
      <c r="AQ58" s="365"/>
    </row>
    <row r="59" s="423" customFormat="true" ht="24" hidden="false" customHeight="true" outlineLevel="0" collapsed="false">
      <c r="A59" s="305"/>
      <c r="B59" s="408" t="s">
        <v>72</v>
      </c>
      <c r="C59" s="409">
        <f aca="false">SUM(C49:C58)</f>
      </c>
      <c r="D59" s="410">
        <f aca="false">+$C$49*D49+$C$50*D50+$C$51*D51+$C$52*D52+$C$53*D53+$C$54*D54+$C$55*D55+$C$56*D56</f>
      </c>
      <c r="E59" s="411">
        <f aca="false">SUM(E49:E58)</f>
      </c>
      <c r="F59" s="412"/>
      <c r="G59" s="413"/>
      <c r="H59" s="414">
        <f aca="false">+$C$49*H49+$C$50*H50+$C$51*H51+$C$52*H52+$C$53*H53+$C$54*H54+$C$55*H55+$C$56*H56</f>
      </c>
      <c r="I59" s="388">
        <f aca="false">H59*0.3025</f>
      </c>
      <c r="J59" s="415"/>
      <c r="K59" s="415"/>
      <c r="L59" s="415"/>
      <c r="M59" s="415"/>
      <c r="N59" s="415"/>
      <c r="O59" s="415"/>
      <c r="P59" s="416">
        <f aca="false">SUM(P49:P58)</f>
      </c>
      <c r="Q59" s="388">
        <f aca="false">P59*0.3025</f>
      </c>
      <c r="R59" s="413">
        <f aca="false">P59*0.3025</f>
      </c>
      <c r="S59" s="417">
        <f aca="false">+Y36</f>
      </c>
      <c r="T59" s="413">
        <f aca="false">S59*0.3025</f>
      </c>
      <c r="U59" s="412">
        <f aca="false">+J59+P59+S59</f>
      </c>
      <c r="V59" s="388">
        <f aca="false">U59*0.3025</f>
      </c>
      <c r="W59" s="418"/>
      <c r="X59" s="388"/>
      <c r="Y59" s="387">
        <f aca="false">H59+U59</f>
      </c>
      <c r="Z59" s="388">
        <f aca="false">Y59*0.3025</f>
      </c>
      <c r="AA59" s="419"/>
      <c r="AB59" s="420">
        <f aca="false">SUM(AB49:AB58)</f>
      </c>
      <c r="AC59" s="388">
        <f aca="false">AB59*0.3025</f>
      </c>
      <c r="AD59" s="421"/>
      <c r="AE59" s="302"/>
      <c r="AF59" s="422"/>
      <c r="AG59" s="422"/>
      <c r="AH59" s="303"/>
      <c r="AI59" s="304"/>
      <c r="AJ59" s="303"/>
      <c r="AK59" s="304"/>
      <c r="AL59" s="85"/>
      <c r="AM59" s="85"/>
      <c r="AN59" s="85"/>
      <c r="AO59" s="85"/>
      <c r="AP59" s="85"/>
      <c r="AQ59" s="85"/>
    </row>
    <row r="60" s="423" customFormat="true" ht="10.5" hidden="false" customHeight="true" outlineLevel="0" collapsed="false">
      <c r="A60" s="305"/>
      <c r="B60" s="343"/>
      <c r="C60" s="424"/>
      <c r="D60" s="425"/>
      <c r="E60" s="426"/>
      <c r="F60" s="425"/>
      <c r="G60" s="329"/>
      <c r="H60" s="425"/>
      <c r="I60" s="329"/>
      <c r="J60" s="425"/>
      <c r="K60" s="425"/>
      <c r="L60" s="425"/>
      <c r="M60" s="425"/>
      <c r="N60" s="329"/>
      <c r="O60" s="329"/>
      <c r="P60" s="427"/>
      <c r="Q60" s="427"/>
      <c r="R60" s="427"/>
      <c r="S60" s="427"/>
      <c r="T60" s="427"/>
      <c r="U60" s="329"/>
      <c r="V60" s="425"/>
      <c r="W60" s="425"/>
      <c r="X60" s="329"/>
      <c r="Y60" s="425"/>
      <c r="Z60" s="329"/>
      <c r="AA60" s="428"/>
      <c r="AB60" s="392"/>
      <c r="AC60" s="302"/>
      <c r="AD60" s="302"/>
      <c r="AE60" s="302"/>
      <c r="AF60" s="303"/>
      <c r="AG60" s="303"/>
      <c r="AH60" s="303"/>
      <c r="AI60" s="304"/>
      <c r="AJ60" s="303"/>
      <c r="AK60" s="304"/>
      <c r="AL60" s="85"/>
      <c r="AM60" s="85"/>
      <c r="AN60" s="85"/>
      <c r="AO60" s="85"/>
      <c r="AP60" s="85"/>
      <c r="AQ60" s="85"/>
    </row>
    <row r="61" customFormat="false" ht="15.95" hidden="false" customHeight="true" outlineLevel="0" collapsed="false">
      <c r="A61" s="5"/>
      <c r="B61" s="85"/>
      <c r="C61" s="85"/>
      <c r="D61" s="85"/>
      <c r="E61" s="85"/>
      <c r="F61" s="85"/>
      <c r="G61" s="85"/>
      <c r="H61" s="85"/>
      <c r="I61" s="85"/>
      <c r="J61" s="85"/>
      <c r="K61" s="85" t="s">
        <v>90</v>
      </c>
      <c r="L61" s="85">
        <f aca="false">J37+L37</f>
      </c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131"/>
      <c r="AJ61" s="85"/>
      <c r="AK61" s="131"/>
      <c r="AL61" s="85"/>
      <c r="AM61" s="85"/>
      <c r="AN61" s="85"/>
      <c r="AO61" s="85"/>
      <c r="AP61" s="85"/>
      <c r="AQ61" s="85"/>
    </row>
    <row r="62" customFormat="false" ht="15.95" hidden="false" customHeight="true" outlineLevel="0" collapsed="false">
      <c r="A62" s="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131"/>
      <c r="AJ62" s="85"/>
      <c r="AK62" s="131"/>
      <c r="AL62" s="85"/>
      <c r="AM62" s="85"/>
      <c r="AN62" s="85"/>
      <c r="AO62" s="85"/>
      <c r="AP62" s="85"/>
      <c r="AQ62" s="85"/>
    </row>
    <row r="63" customFormat="false" ht="15.95" hidden="false" customHeight="true" outlineLevel="0" collapsed="false">
      <c r="A63" s="5"/>
      <c r="B63" s="85"/>
      <c r="C63" s="85"/>
      <c r="D63" s="85"/>
      <c r="E63" s="85"/>
      <c r="F63" s="85"/>
      <c r="G63" s="85"/>
      <c r="H63" s="85"/>
      <c r="I63" s="85"/>
      <c r="J63" s="85"/>
      <c r="K63" s="85" t="s">
        <v>91</v>
      </c>
      <c r="L63" s="85">
        <f aca="false">N37/L61*J37+J37</f>
      </c>
      <c r="M63" s="102">
        <f aca="false">L63/P37</f>
      </c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131"/>
      <c r="AJ63" s="85"/>
      <c r="AK63" s="131"/>
      <c r="AL63" s="85"/>
      <c r="AM63" s="85"/>
      <c r="AN63" s="85"/>
      <c r="AO63" s="85"/>
      <c r="AP63" s="85"/>
      <c r="AQ63" s="85"/>
    </row>
    <row r="64" customFormat="false" ht="15.95" hidden="false" customHeight="true" outlineLevel="0" collapsed="false">
      <c r="A64" s="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131"/>
      <c r="AJ64" s="85"/>
      <c r="AK64" s="131"/>
      <c r="AL64" s="85"/>
      <c r="AM64" s="85"/>
      <c r="AN64" s="85"/>
      <c r="AO64" s="85"/>
      <c r="AP64" s="85"/>
      <c r="AQ64" s="85"/>
    </row>
    <row r="65" customFormat="false" ht="15.95" hidden="false" customHeight="true" outlineLevel="0" collapsed="false">
      <c r="A65" s="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>
        <f aca="false">+P65*1.5</f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131"/>
      <c r="AJ65" s="85"/>
      <c r="AK65" s="131"/>
      <c r="AL65" s="85"/>
      <c r="AM65" s="85"/>
      <c r="AN65" s="85"/>
      <c r="AO65" s="85"/>
      <c r="AP65" s="85"/>
      <c r="AQ65" s="85"/>
    </row>
    <row r="66" customFormat="false" ht="15.95" hidden="false" customHeight="true" outlineLevel="0" collapsed="false">
      <c r="A66" s="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>
        <f aca="false">+N37</f>
      </c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131"/>
      <c r="AJ66" s="85"/>
      <c r="AK66" s="131"/>
      <c r="AL66" s="85"/>
      <c r="AM66" s="85"/>
      <c r="AN66" s="85"/>
      <c r="AO66" s="85"/>
      <c r="AP66" s="85"/>
      <c r="AQ66" s="85"/>
    </row>
    <row r="67" customFormat="false" ht="15.95" hidden="false" customHeight="true" outlineLevel="0" collapsed="false">
      <c r="A67" s="5"/>
      <c r="B67" s="85"/>
      <c r="C67" s="85"/>
      <c r="D67" s="85"/>
      <c r="E67" s="85"/>
      <c r="F67" s="85"/>
      <c r="G67" s="85"/>
      <c r="H67" s="85"/>
      <c r="I67" s="85"/>
      <c r="J67" s="85"/>
      <c r="K67" s="85">
        <f aca="false">+J37</f>
      </c>
      <c r="L67" s="85">
        <f aca="false">+L66*K67/K69</f>
      </c>
      <c r="M67" s="85">
        <f aca="false">+K67+L67</f>
      </c>
      <c r="N67" s="85">
        <f aca="false">+M67/M69</f>
      </c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131"/>
      <c r="AJ67" s="85"/>
      <c r="AK67" s="131"/>
      <c r="AL67" s="85"/>
      <c r="AM67" s="85"/>
      <c r="AN67" s="85"/>
      <c r="AO67" s="85"/>
      <c r="AP67" s="85"/>
      <c r="AQ67" s="85"/>
    </row>
    <row r="68" customFormat="false" ht="15.95" hidden="false" customHeight="true" outlineLevel="0" collapsed="false">
      <c r="A68" s="5"/>
      <c r="B68" s="85"/>
      <c r="C68" s="85"/>
      <c r="D68" s="85"/>
      <c r="E68" s="85"/>
      <c r="F68" s="85"/>
      <c r="G68" s="85"/>
      <c r="H68" s="85"/>
      <c r="I68" s="85"/>
      <c r="J68" s="85"/>
      <c r="K68" s="85">
        <f aca="false">+L37</f>
      </c>
      <c r="L68" s="85">
        <f aca="false">+L66*K68/K69</f>
      </c>
      <c r="M68" s="85">
        <f aca="false">+K68+L68</f>
      </c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131"/>
      <c r="AJ68" s="85"/>
      <c r="AK68" s="131"/>
      <c r="AL68" s="85"/>
      <c r="AM68" s="85"/>
      <c r="AN68" s="85"/>
      <c r="AO68" s="85"/>
      <c r="AP68" s="85"/>
      <c r="AQ68" s="85"/>
    </row>
    <row r="69" customFormat="false" ht="15.95" hidden="false" customHeight="true" outlineLevel="0" collapsed="false">
      <c r="A69" s="5"/>
      <c r="B69" s="85"/>
      <c r="C69" s="85"/>
      <c r="D69" s="85"/>
      <c r="E69" s="85"/>
      <c r="F69" s="85"/>
      <c r="G69" s="85"/>
      <c r="H69" s="85"/>
      <c r="I69" s="85"/>
      <c r="J69" s="85"/>
      <c r="K69" s="85">
        <f aca="false">SUM(K67:K68)</f>
      </c>
      <c r="L69" s="85"/>
      <c r="M69" s="85">
        <f aca="false">SUM(M67:M68)</f>
      </c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131"/>
      <c r="AJ69" s="85"/>
      <c r="AK69" s="131"/>
      <c r="AL69" s="85"/>
      <c r="AM69" s="85"/>
      <c r="AN69" s="85"/>
      <c r="AO69" s="85"/>
      <c r="AP69" s="85"/>
      <c r="AQ69" s="85"/>
    </row>
    <row r="70" customFormat="false" ht="15.95" hidden="false" customHeight="true" outlineLevel="0" collapsed="false">
      <c r="A70" s="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131"/>
      <c r="AJ70" s="85"/>
      <c r="AK70" s="131"/>
      <c r="AL70" s="85"/>
      <c r="AM70" s="85"/>
      <c r="AN70" s="85"/>
      <c r="AO70" s="85"/>
      <c r="AP70" s="85"/>
      <c r="AQ70" s="85"/>
    </row>
    <row r="71" customFormat="false" ht="15.95" hidden="false" customHeight="true" outlineLevel="0" collapsed="false">
      <c r="A71" s="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131"/>
      <c r="AJ71" s="85"/>
      <c r="AK71" s="131"/>
      <c r="AL71" s="85"/>
      <c r="AM71" s="85"/>
      <c r="AN71" s="85"/>
      <c r="AO71" s="85"/>
      <c r="AP71" s="85"/>
      <c r="AQ71" s="85"/>
    </row>
    <row r="72" customFormat="false" ht="15.95" hidden="false" customHeight="true" outlineLevel="0" collapsed="false">
      <c r="A72" s="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131"/>
      <c r="AJ72" s="85"/>
      <c r="AK72" s="131"/>
      <c r="AL72" s="85"/>
      <c r="AM72" s="85"/>
      <c r="AN72" s="85"/>
      <c r="AO72" s="85"/>
      <c r="AP72" s="85"/>
      <c r="AQ72" s="85"/>
    </row>
    <row r="73" customFormat="false" ht="15.95" hidden="false" customHeight="true" outlineLevel="0" collapsed="false">
      <c r="A73" s="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131"/>
      <c r="AJ73" s="85"/>
      <c r="AK73" s="131"/>
      <c r="AL73" s="85"/>
      <c r="AM73" s="85"/>
      <c r="AN73" s="85"/>
      <c r="AO73" s="85"/>
      <c r="AP73" s="85"/>
      <c r="AQ73" s="85"/>
    </row>
    <row r="74" customFormat="false" ht="15.95" hidden="false" customHeight="true" outlineLevel="0" collapsed="false">
      <c r="A74" s="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131"/>
      <c r="AJ74" s="85"/>
      <c r="AK74" s="131"/>
      <c r="AL74" s="85"/>
      <c r="AM74" s="85"/>
      <c r="AN74" s="85"/>
      <c r="AO74" s="85"/>
      <c r="AP74" s="85"/>
      <c r="AQ74" s="85"/>
    </row>
    <row r="75" customFormat="false" ht="15.95" hidden="false" customHeight="true" outlineLevel="0" collapsed="false">
      <c r="A75" s="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131"/>
      <c r="AJ75" s="85"/>
      <c r="AK75" s="131"/>
      <c r="AL75" s="85"/>
      <c r="AM75" s="85"/>
      <c r="AN75" s="85"/>
      <c r="AO75" s="85"/>
      <c r="AP75" s="85"/>
      <c r="AQ75" s="85"/>
    </row>
    <row r="76" customFormat="false" ht="15.95" hidden="false" customHeight="true" outlineLevel="0" collapsed="false">
      <c r="A76" s="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131"/>
      <c r="AJ76" s="85"/>
      <c r="AK76" s="131"/>
      <c r="AL76" s="85"/>
      <c r="AM76" s="85"/>
      <c r="AN76" s="85"/>
      <c r="AO76" s="85"/>
      <c r="AP76" s="85"/>
      <c r="AQ76" s="85"/>
    </row>
    <row r="77" customFormat="false" ht="15.95" hidden="false" customHeight="true" outlineLevel="0" collapsed="false">
      <c r="A77" s="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131"/>
      <c r="AJ77" s="85"/>
      <c r="AK77" s="131"/>
      <c r="AL77" s="85"/>
      <c r="AM77" s="85"/>
      <c r="AN77" s="85"/>
      <c r="AO77" s="85"/>
      <c r="AP77" s="85"/>
      <c r="AQ77" s="85"/>
    </row>
    <row r="78" customFormat="false" ht="15.95" hidden="false" customHeight="true" outlineLevel="0" collapsed="false">
      <c r="A78" s="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131"/>
      <c r="AJ78" s="85"/>
      <c r="AK78" s="131"/>
      <c r="AL78" s="85"/>
      <c r="AM78" s="85"/>
      <c r="AN78" s="85"/>
      <c r="AO78" s="85"/>
      <c r="AP78" s="85"/>
      <c r="AQ78" s="85"/>
    </row>
    <row r="79" customFormat="false" ht="15.95" hidden="false" customHeight="true" outlineLevel="0" collapsed="false">
      <c r="A79" s="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131"/>
      <c r="AJ79" s="85"/>
      <c r="AK79" s="131"/>
      <c r="AL79" s="85"/>
      <c r="AM79" s="85"/>
      <c r="AN79" s="85"/>
      <c r="AO79" s="85"/>
      <c r="AP79" s="85"/>
      <c r="AQ79" s="85"/>
    </row>
    <row r="80" customFormat="false" ht="15.95" hidden="false" customHeight="true" outlineLevel="0" collapsed="false">
      <c r="A80" s="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131"/>
      <c r="AJ80" s="85"/>
      <c r="AK80" s="131"/>
      <c r="AL80" s="85"/>
      <c r="AM80" s="85"/>
      <c r="AN80" s="85"/>
      <c r="AO80" s="85"/>
      <c r="AP80" s="85"/>
      <c r="AQ80" s="85"/>
    </row>
    <row r="81" customFormat="false" ht="15.95" hidden="false" customHeight="true" outlineLevel="0" collapsed="false">
      <c r="A81" s="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131"/>
      <c r="AJ81" s="85"/>
      <c r="AK81" s="131"/>
      <c r="AL81" s="85"/>
      <c r="AM81" s="85"/>
      <c r="AN81" s="85"/>
      <c r="AO81" s="85"/>
      <c r="AP81" s="85"/>
      <c r="AQ81" s="85"/>
    </row>
    <row r="82" customFormat="false" ht="15.95" hidden="false" customHeight="true" outlineLevel="0" collapsed="false">
      <c r="A82" s="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131"/>
      <c r="AJ82" s="85"/>
      <c r="AK82" s="131"/>
      <c r="AL82" s="85"/>
      <c r="AM82" s="85"/>
      <c r="AN82" s="85"/>
      <c r="AO82" s="85"/>
      <c r="AP82" s="85"/>
    </row>
    <row r="83" customFormat="false" ht="15.95" hidden="false" customHeight="true" outlineLevel="0" collapsed="false"/>
    <row r="84" customFormat="false" ht="15.95" hidden="false" customHeight="true" outlineLevel="0" collapsed="false"/>
    <row r="85" customFormat="false" ht="15.95" hidden="false" customHeight="true" outlineLevel="0" collapsed="false"/>
    <row r="86" customFormat="false" ht="15.95" hidden="false" customHeight="true" outlineLevel="0" collapsed="false"/>
    <row r="87" s="1" customFormat="true" ht="15.95" hidden="false" customHeight="true" outlineLevel="0" collapsed="false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3"/>
      <c r="AJ87" s="2"/>
      <c r="AK87" s="3"/>
      <c r="AL87" s="2"/>
      <c r="AM87" s="2"/>
      <c r="AN87" s="2"/>
      <c r="AO87" s="2"/>
      <c r="AP87" s="2"/>
      <c r="AQ87" s="2"/>
      <c r="AR87" s="2"/>
    </row>
    <row r="88" s="1" customFormat="true" ht="15.95" hidden="false" customHeight="true" outlineLevel="0" collapsed="false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3"/>
      <c r="AJ88" s="2"/>
      <c r="AK88" s="3"/>
      <c r="AL88" s="2"/>
      <c r="AM88" s="2"/>
      <c r="AN88" s="2"/>
      <c r="AO88" s="2"/>
      <c r="AP88" s="2"/>
      <c r="AQ88" s="2"/>
      <c r="AR88" s="2"/>
    </row>
    <row r="89" s="1" customFormat="true" ht="15.95" hidden="false" customHeight="true" outlineLevel="0" collapsed="false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3"/>
      <c r="AJ89" s="2"/>
      <c r="AK89" s="3"/>
      <c r="AL89" s="2"/>
      <c r="AM89" s="2"/>
      <c r="AN89" s="2"/>
      <c r="AO89" s="2"/>
      <c r="AP89" s="2"/>
      <c r="AQ89" s="2"/>
      <c r="AR89" s="2"/>
    </row>
  </sheetData>
  <mergeCells count="75">
    <mergeCell ref="B2:C2"/>
    <mergeCell ref="B3:C3"/>
    <mergeCell ref="C6:G6"/>
    <mergeCell ref="C7:F7"/>
    <mergeCell ref="I7:I8"/>
    <mergeCell ref="J7:K7"/>
    <mergeCell ref="L7:M7"/>
    <mergeCell ref="N7:O7"/>
    <mergeCell ref="P7:Q7"/>
    <mergeCell ref="R7:T7"/>
    <mergeCell ref="U7:W7"/>
    <mergeCell ref="X7:X8"/>
    <mergeCell ref="Y7:Y8"/>
    <mergeCell ref="Z7:Z8"/>
    <mergeCell ref="AA7:AA8"/>
    <mergeCell ref="AB7:AD8"/>
    <mergeCell ref="AE7:AE8"/>
    <mergeCell ref="D8:F8"/>
    <mergeCell ref="C9:C15"/>
    <mergeCell ref="AB9:AD9"/>
    <mergeCell ref="AB13:AD13"/>
    <mergeCell ref="D16:G16"/>
    <mergeCell ref="D18:G18"/>
    <mergeCell ref="D19:F19"/>
    <mergeCell ref="AB25:AD25"/>
    <mergeCell ref="AB26:AD26"/>
    <mergeCell ref="AB27:AD27"/>
    <mergeCell ref="AB28:AD28"/>
    <mergeCell ref="AB29:AD29"/>
    <mergeCell ref="AB30:AD30"/>
    <mergeCell ref="E31:F31"/>
    <mergeCell ref="AB31:AD31"/>
    <mergeCell ref="E32:F32"/>
    <mergeCell ref="AB32:AD32"/>
    <mergeCell ref="AB33:AD33"/>
    <mergeCell ref="AB34:AD34"/>
    <mergeCell ref="AB35:AD35"/>
    <mergeCell ref="AB36:AD36"/>
    <mergeCell ref="AB37:AD38"/>
    <mergeCell ref="C41:D41"/>
    <mergeCell ref="E41:F41"/>
    <mergeCell ref="G41:H41"/>
    <mergeCell ref="I41:J41"/>
    <mergeCell ref="N41:P41"/>
    <mergeCell ref="U41:V41"/>
    <mergeCell ref="X41:Y41"/>
    <mergeCell ref="B46:F46"/>
    <mergeCell ref="B47:B48"/>
    <mergeCell ref="C47:C48"/>
    <mergeCell ref="D47:D48"/>
    <mergeCell ref="E47:E48"/>
    <mergeCell ref="F47:G47"/>
    <mergeCell ref="H47:I48"/>
    <mergeCell ref="J47:O47"/>
    <mergeCell ref="P47:Q47"/>
    <mergeCell ref="Y47:Z48"/>
    <mergeCell ref="AA47:AA48"/>
    <mergeCell ref="AB47:AC48"/>
    <mergeCell ref="AD47:AD48"/>
    <mergeCell ref="F48:G48"/>
    <mergeCell ref="J48:O48"/>
    <mergeCell ref="P48:Q48"/>
    <mergeCell ref="S48:T48"/>
    <mergeCell ref="U48:V48"/>
    <mergeCell ref="J49:O49"/>
    <mergeCell ref="J50:O50"/>
    <mergeCell ref="J51:O51"/>
    <mergeCell ref="J52:O52"/>
    <mergeCell ref="J53:O53"/>
    <mergeCell ref="J54:O54"/>
    <mergeCell ref="J55:O55"/>
    <mergeCell ref="J56:O56"/>
    <mergeCell ref="J57:O57"/>
    <mergeCell ref="J58:O58"/>
    <mergeCell ref="J59:O59"/>
  </mergeCells>
  <printOptions headings="false" gridLines="false" gridLinesSet="true" horizontalCentered="true" verticalCentered="false"/>
  <pageMargins left="0.747916666666667" right="0.747916666666667" top="0.590277777777778" bottom="0.590277777777778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96484375" defaultRowHeight="13.5" zeroHeight="false" outlineLevelRow="0" outlineLevelCol="0"/>
  <cols>
    <col collapsed="false" customWidth="true" hidden="false" outlineLevel="0" max="2" min="2" style="434" width="8.88"/>
    <col collapsed="false" customWidth="true" hidden="false" outlineLevel="0" max="3" min="3" style="434" width="10.44"/>
    <col collapsed="false" customWidth="true" hidden="false" outlineLevel="0" max="4" min="4" style="434" width="9.11"/>
    <col collapsed="false" customWidth="true" hidden="false" outlineLevel="0" max="5" min="5" style="434" width="8.88"/>
    <col collapsed="false" customWidth="true" hidden="false" outlineLevel="0" max="8" min="8" style="0" width="10.55"/>
  </cols>
  <sheetData>
    <row r="1" customFormat="false" ht="16.5" hidden="false" customHeight="false" outlineLevel="0" collapsed="false">
      <c r="A1" s="435" t="s">
        <v>94</v>
      </c>
    </row>
    <row r="2" customFormat="false" ht="29.25" hidden="false" customHeight="true" outlineLevel="0" collapsed="false">
      <c r="A2" s="436" t="s">
        <v>95</v>
      </c>
      <c r="B2" s="436"/>
      <c r="C2" s="437" t="s">
        <v>0</v>
      </c>
      <c r="D2" s="437" t="s">
        <v>1</v>
      </c>
      <c r="E2" s="438" t="s">
        <v>96</v>
      </c>
      <c r="F2" s="439" t="s">
        <v>97</v>
      </c>
      <c r="G2" s="439" t="s">
        <v>98</v>
      </c>
      <c r="H2" s="439" t="s">
        <v>99</v>
      </c>
      <c r="I2" s="440" t="s">
        <v>20</v>
      </c>
    </row>
    <row r="3" s="448" customFormat="true" ht="18.75" hidden="false" customHeight="true" outlineLevel="0" collapsed="false">
      <c r="A3" s="441"/>
      <c r="B3" s="442"/>
      <c r="C3" s="443"/>
      <c r="D3" s="444">
        <f aca="false">+ROUND(C3*0.3025,2)</f>
      </c>
      <c r="E3" s="445"/>
      <c r="F3" s="446"/>
      <c r="G3" s="446"/>
      <c r="H3" s="446"/>
      <c r="I3" s="447"/>
    </row>
    <row r="4" s="448" customFormat="true" ht="18.75" hidden="false" customHeight="true" outlineLevel="0" collapsed="false">
      <c r="A4" s="441"/>
      <c r="B4" s="442"/>
      <c r="C4" s="443"/>
      <c r="D4" s="444"/>
      <c r="E4" s="445"/>
      <c r="F4" s="446"/>
      <c r="G4" s="446"/>
      <c r="H4" s="446"/>
      <c r="I4" s="447"/>
    </row>
    <row r="5" s="448" customFormat="true" ht="18.75" hidden="false" customHeight="true" outlineLevel="0" collapsed="false">
      <c r="A5" s="441"/>
      <c r="B5" s="442"/>
      <c r="C5" s="443"/>
      <c r="D5" s="444">
        <f aca="false">+ROUND(C5*0.3025,2)</f>
      </c>
      <c r="E5" s="445"/>
      <c r="F5" s="446"/>
      <c r="G5" s="446"/>
      <c r="H5" s="446"/>
      <c r="I5" s="447"/>
    </row>
    <row r="6" s="448" customFormat="true" ht="18.75" hidden="false" customHeight="true" outlineLevel="0" collapsed="false">
      <c r="A6" s="441"/>
      <c r="B6" s="442"/>
      <c r="C6" s="443"/>
      <c r="D6" s="444">
        <f aca="false">+ROUND(C6*0.3025,2)</f>
      </c>
      <c r="E6" s="445"/>
      <c r="F6" s="446"/>
      <c r="G6" s="446"/>
      <c r="H6" s="446"/>
      <c r="I6" s="447"/>
    </row>
    <row r="7" s="448" customFormat="true" ht="18.75" hidden="false" customHeight="true" outlineLevel="0" collapsed="false">
      <c r="A7" s="441"/>
      <c r="B7" s="442"/>
      <c r="C7" s="443"/>
      <c r="D7" s="444">
        <f aca="false">+ROUND(C7*0.3025,2)</f>
      </c>
      <c r="E7" s="445"/>
      <c r="F7" s="446"/>
      <c r="G7" s="446"/>
      <c r="H7" s="446"/>
      <c r="I7" s="447"/>
    </row>
    <row r="8" s="448" customFormat="true" ht="18.75" hidden="false" customHeight="true" outlineLevel="0" collapsed="false">
      <c r="A8" s="441"/>
      <c r="B8" s="442"/>
      <c r="C8" s="443"/>
      <c r="D8" s="444"/>
      <c r="E8" s="445"/>
      <c r="F8" s="446"/>
      <c r="G8" s="446"/>
      <c r="H8" s="446"/>
      <c r="I8" s="447"/>
    </row>
    <row r="9" s="448" customFormat="true" ht="18.75" hidden="false" customHeight="true" outlineLevel="0" collapsed="false">
      <c r="A9" s="441"/>
      <c r="B9" s="442"/>
      <c r="C9" s="443"/>
      <c r="D9" s="444"/>
      <c r="E9" s="445"/>
      <c r="F9" s="446"/>
      <c r="G9" s="446"/>
      <c r="H9" s="446"/>
      <c r="I9" s="447"/>
    </row>
    <row r="10" s="448" customFormat="true" ht="18.75" hidden="false" customHeight="true" outlineLevel="0" collapsed="false">
      <c r="A10" s="441"/>
      <c r="B10" s="442"/>
      <c r="C10" s="443"/>
      <c r="D10" s="444"/>
      <c r="E10" s="445"/>
      <c r="F10" s="446"/>
      <c r="G10" s="446"/>
      <c r="H10" s="446"/>
      <c r="I10" s="447"/>
    </row>
    <row r="11" s="448" customFormat="true" ht="18.75" hidden="false" customHeight="true" outlineLevel="0" collapsed="false">
      <c r="A11" s="441"/>
      <c r="B11" s="442"/>
      <c r="C11" s="443"/>
      <c r="D11" s="444"/>
      <c r="E11" s="445"/>
      <c r="F11" s="446"/>
      <c r="G11" s="446"/>
      <c r="H11" s="446"/>
      <c r="I11" s="447"/>
    </row>
    <row r="12" s="448" customFormat="true" ht="18.75" hidden="false" customHeight="true" outlineLevel="0" collapsed="false">
      <c r="A12" s="441"/>
      <c r="B12" s="442"/>
      <c r="C12" s="443"/>
      <c r="D12" s="444"/>
      <c r="E12" s="445"/>
      <c r="F12" s="446"/>
      <c r="G12" s="446"/>
      <c r="H12" s="446"/>
      <c r="I12" s="447"/>
    </row>
    <row r="13" s="448" customFormat="true" ht="18.75" hidden="false" customHeight="true" outlineLevel="0" collapsed="false">
      <c r="A13" s="441"/>
      <c r="B13" s="442"/>
      <c r="C13" s="443"/>
      <c r="D13" s="444"/>
      <c r="E13" s="445"/>
      <c r="F13" s="446"/>
      <c r="G13" s="446"/>
      <c r="H13" s="446"/>
      <c r="I13" s="447"/>
    </row>
    <row r="14" s="448" customFormat="true" ht="18.75" hidden="false" customHeight="true" outlineLevel="0" collapsed="false">
      <c r="A14" s="441"/>
      <c r="B14" s="442"/>
      <c r="C14" s="443"/>
      <c r="D14" s="444"/>
      <c r="E14" s="445"/>
      <c r="F14" s="446"/>
      <c r="G14" s="446"/>
      <c r="H14" s="446"/>
      <c r="I14" s="447"/>
    </row>
    <row r="15" s="448" customFormat="true" ht="18.75" hidden="false" customHeight="true" outlineLevel="0" collapsed="false">
      <c r="A15" s="441"/>
      <c r="B15" s="442"/>
      <c r="C15" s="443"/>
      <c r="D15" s="444"/>
      <c r="E15" s="445"/>
      <c r="F15" s="446"/>
      <c r="G15" s="446"/>
      <c r="H15" s="446"/>
      <c r="I15" s="447"/>
    </row>
    <row r="16" s="448" customFormat="true" ht="18.75" hidden="false" customHeight="true" outlineLevel="0" collapsed="false">
      <c r="A16" s="441"/>
      <c r="B16" s="442"/>
      <c r="C16" s="443"/>
      <c r="D16" s="444"/>
      <c r="E16" s="445"/>
      <c r="F16" s="446"/>
      <c r="G16" s="446"/>
      <c r="H16" s="446"/>
      <c r="I16" s="447"/>
    </row>
    <row r="17" s="448" customFormat="true" ht="18.75" hidden="false" customHeight="true" outlineLevel="0" collapsed="false">
      <c r="A17" s="441"/>
      <c r="B17" s="442"/>
      <c r="C17" s="443"/>
      <c r="D17" s="444"/>
      <c r="E17" s="445"/>
      <c r="F17" s="446"/>
      <c r="G17" s="446"/>
      <c r="H17" s="446"/>
      <c r="I17" s="447"/>
    </row>
    <row r="18" s="448" customFormat="true" ht="18.75" hidden="false" customHeight="true" outlineLevel="0" collapsed="false">
      <c r="A18" s="441"/>
      <c r="B18" s="442"/>
      <c r="C18" s="443"/>
      <c r="D18" s="444"/>
      <c r="E18" s="445"/>
      <c r="F18" s="446"/>
      <c r="G18" s="446"/>
      <c r="H18" s="446"/>
      <c r="I18" s="447"/>
    </row>
    <row r="19" s="448" customFormat="true" ht="18.75" hidden="false" customHeight="true" outlineLevel="0" collapsed="false">
      <c r="A19" s="441"/>
      <c r="B19" s="442"/>
      <c r="C19" s="443"/>
      <c r="D19" s="444"/>
      <c r="E19" s="445"/>
      <c r="F19" s="446"/>
      <c r="G19" s="446"/>
      <c r="H19" s="446"/>
      <c r="I19" s="447"/>
    </row>
    <row r="20" s="448" customFormat="true" ht="18.75" hidden="false" customHeight="true" outlineLevel="0" collapsed="false">
      <c r="A20" s="441"/>
      <c r="B20" s="442"/>
      <c r="C20" s="443"/>
      <c r="D20" s="444"/>
      <c r="E20" s="445"/>
      <c r="F20" s="446"/>
      <c r="G20" s="446"/>
      <c r="H20" s="446"/>
      <c r="I20" s="447"/>
    </row>
    <row r="21" s="448" customFormat="true" ht="18.75" hidden="false" customHeight="true" outlineLevel="0" collapsed="false">
      <c r="A21" s="441"/>
      <c r="B21" s="442"/>
      <c r="C21" s="443"/>
      <c r="D21" s="444"/>
      <c r="E21" s="445"/>
      <c r="F21" s="446"/>
      <c r="G21" s="446"/>
      <c r="H21" s="446"/>
      <c r="I21" s="447"/>
    </row>
    <row r="22" s="448" customFormat="true" ht="18.75" hidden="false" customHeight="true" outlineLevel="0" collapsed="false">
      <c r="A22" s="441"/>
      <c r="B22" s="442"/>
      <c r="C22" s="443"/>
      <c r="D22" s="444"/>
      <c r="E22" s="445"/>
      <c r="F22" s="446"/>
      <c r="G22" s="446"/>
      <c r="H22" s="446"/>
      <c r="I22" s="447"/>
    </row>
    <row r="23" s="448" customFormat="true" ht="18.75" hidden="false" customHeight="true" outlineLevel="0" collapsed="false">
      <c r="A23" s="441"/>
      <c r="B23" s="442"/>
      <c r="C23" s="443"/>
      <c r="D23" s="444"/>
      <c r="E23" s="445"/>
      <c r="F23" s="446"/>
      <c r="G23" s="446"/>
      <c r="H23" s="446"/>
      <c r="I23" s="447"/>
    </row>
    <row r="24" s="448" customFormat="true" ht="18.75" hidden="false" customHeight="true" outlineLevel="0" collapsed="false">
      <c r="A24" s="441"/>
      <c r="B24" s="442"/>
      <c r="C24" s="443"/>
      <c r="D24" s="444"/>
      <c r="E24" s="445"/>
      <c r="F24" s="446"/>
      <c r="G24" s="446"/>
      <c r="H24" s="446"/>
      <c r="I24" s="447"/>
    </row>
    <row r="25" s="448" customFormat="true" ht="18.75" hidden="false" customHeight="true" outlineLevel="0" collapsed="false">
      <c r="A25" s="441"/>
      <c r="B25" s="442"/>
      <c r="C25" s="443"/>
      <c r="D25" s="444"/>
      <c r="E25" s="445"/>
      <c r="F25" s="446"/>
      <c r="G25" s="446"/>
      <c r="H25" s="446"/>
      <c r="I25" s="447"/>
    </row>
    <row r="26" s="448" customFormat="true" ht="18.75" hidden="false" customHeight="true" outlineLevel="0" collapsed="false">
      <c r="A26" s="441"/>
      <c r="B26" s="442"/>
      <c r="C26" s="443"/>
      <c r="D26" s="444"/>
      <c r="E26" s="445"/>
      <c r="F26" s="446"/>
      <c r="G26" s="446"/>
      <c r="H26" s="446"/>
      <c r="I26" s="447"/>
    </row>
    <row r="27" s="448" customFormat="true" ht="18.75" hidden="false" customHeight="true" outlineLevel="0" collapsed="false">
      <c r="A27" s="441"/>
      <c r="B27" s="442"/>
      <c r="C27" s="443"/>
      <c r="D27" s="444"/>
      <c r="E27" s="445"/>
      <c r="F27" s="446"/>
      <c r="G27" s="446"/>
      <c r="H27" s="446"/>
      <c r="I27" s="447"/>
    </row>
    <row r="28" s="448" customFormat="true" ht="18.75" hidden="false" customHeight="true" outlineLevel="0" collapsed="false">
      <c r="A28" s="441"/>
      <c r="B28" s="442"/>
      <c r="C28" s="443"/>
      <c r="D28" s="444"/>
      <c r="E28" s="445"/>
      <c r="F28" s="446"/>
      <c r="G28" s="446"/>
      <c r="H28" s="446"/>
      <c r="I28" s="447"/>
    </row>
    <row r="29" s="448" customFormat="true" ht="18.75" hidden="false" customHeight="true" outlineLevel="0" collapsed="false">
      <c r="A29" s="436" t="s">
        <v>19</v>
      </c>
      <c r="B29" s="436"/>
      <c r="C29" s="449">
        <f aca="false">SUM(C3:C28)</f>
      </c>
      <c r="D29" s="449">
        <f aca="false">SUM(D3:D28)</f>
      </c>
      <c r="E29" s="450"/>
      <c r="F29" s="451"/>
      <c r="G29" s="451"/>
      <c r="H29" s="451"/>
      <c r="I29" s="452"/>
    </row>
    <row r="31" customFormat="false" ht="13.5" hidden="false" customHeight="false" outlineLevel="0" collapsed="false">
      <c r="C31" s="434"/>
    </row>
    <row r="33" customFormat="false" ht="13.5" hidden="false" customHeight="false" outlineLevel="0" collapsed="false">
      <c r="C33" s="434"/>
      <c r="D33" s="434">
        <f aca="false">+C33*1.5</f>
      </c>
    </row>
    <row r="34" customFormat="false" ht="13.5" hidden="false" customHeight="false" outlineLevel="0" collapsed="false">
      <c r="C34" s="434"/>
      <c r="D34" s="434">
        <f aca="false">+C34*1.5</f>
      </c>
    </row>
    <row r="35" customFormat="false" ht="13.5" hidden="false" customHeight="false" outlineLevel="0" collapsed="false">
      <c r="C35" s="434">
        <f aca="false">SUM(C31:C34)</f>
      </c>
    </row>
  </sheetData>
  <mergeCells count="2">
    <mergeCell ref="A2:B2"/>
    <mergeCell ref="A29:B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F8"/>
    </sheetView>
  </sheetViews>
  <sheetFormatPr defaultColWidth="8.96484375" defaultRowHeight="13.5" zeroHeight="false" outlineLevelRow="0" outlineLevelCol="0"/>
  <cols>
    <col collapsed="false" customWidth="true" hidden="false" outlineLevel="0" max="1" min="1" style="0" width="10.1"/>
    <col collapsed="false" customWidth="true" hidden="true" outlineLevel="0" max="4" min="4" style="434" width="8.88"/>
    <col collapsed="false" customWidth="true" hidden="false" outlineLevel="0" max="5" min="5" style="0" width="42.99"/>
  </cols>
  <sheetData>
    <row r="2" customFormat="false" ht="13.5" hidden="false" customHeight="false" outlineLevel="0" collapsed="false">
      <c r="A2" s="453" t="s">
        <v>95</v>
      </c>
      <c r="B2" s="454" t="s">
        <v>101</v>
      </c>
      <c r="C2" s="454"/>
      <c r="D2" s="455" t="s">
        <v>102</v>
      </c>
      <c r="E2" s="454" t="s">
        <v>103</v>
      </c>
      <c r="F2" s="456" t="s">
        <v>20</v>
      </c>
    </row>
    <row r="3" customFormat="false" ht="13.5" hidden="false" customHeight="false" outlineLevel="0" collapsed="false">
      <c r="A3" s="453"/>
      <c r="B3" s="457" t="s">
        <v>104</v>
      </c>
      <c r="C3" s="457" t="s">
        <v>1</v>
      </c>
      <c r="D3" s="458"/>
      <c r="E3" s="454"/>
      <c r="F3" s="456"/>
    </row>
    <row r="4" customFormat="false" ht="18.75" hidden="false" customHeight="true" outlineLevel="0" collapsed="false">
      <c r="A4" s="459">
        <f aca="false">+토지내역!B3</f>
      </c>
      <c r="B4" s="444">
        <f aca="false">+토지내역!C3</f>
      </c>
      <c r="C4" s="444">
        <f aca="false">+ROUNDUP(B4*0.3025,2)</f>
      </c>
      <c r="D4" s="460"/>
      <c r="E4" s="461"/>
      <c r="F4" s="462"/>
    </row>
    <row r="5" customFormat="false" ht="18.75" hidden="false" customHeight="true" outlineLevel="0" collapsed="false">
      <c r="A5" s="463">
        <f aca="false">+토지내역!B4</f>
      </c>
      <c r="B5" s="444">
        <f aca="false">+토지내역!C4</f>
      </c>
      <c r="C5" s="444">
        <f aca="false">+ROUNDUP(B5*0.3025,2)</f>
      </c>
      <c r="D5" s="460"/>
      <c r="E5" s="461"/>
      <c r="F5" s="462"/>
    </row>
    <row r="6" customFormat="false" ht="18.75" hidden="false" customHeight="true" outlineLevel="0" collapsed="false">
      <c r="A6" s="463">
        <f aca="false">+토지내역!B5</f>
      </c>
      <c r="B6" s="444">
        <f aca="false">+토지내역!C5</f>
      </c>
      <c r="C6" s="444">
        <f aca="false">+ROUNDUP(B6*0.3025,2)</f>
      </c>
      <c r="D6" s="460"/>
      <c r="E6" s="461"/>
      <c r="F6" s="462"/>
    </row>
    <row r="7" customFormat="false" ht="18.75" hidden="false" customHeight="true" outlineLevel="0" collapsed="false">
      <c r="A7" s="463"/>
      <c r="B7" s="444"/>
      <c r="C7" s="444"/>
      <c r="D7" s="460"/>
      <c r="E7" s="461"/>
      <c r="F7" s="462"/>
    </row>
    <row r="8" customFormat="false" ht="18.75" hidden="false" customHeight="true" outlineLevel="0" collapsed="false">
      <c r="A8" s="464" t="s">
        <v>19</v>
      </c>
      <c r="B8" s="465">
        <f aca="false">+B4-B7</f>
      </c>
      <c r="C8" s="465">
        <f aca="false">+ROUNDUP(B8*0.3025,2)</f>
      </c>
      <c r="D8" s="466"/>
      <c r="E8" s="467"/>
      <c r="F8" s="46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96484375" defaultRowHeight="13.5" zeroHeight="false" outlineLevelRow="0" outlineLevelCol="0"/>
  <sheetData>
    <row r="4" customFormat="false" ht="13.5" hidden="false" customHeight="false" outlineLevel="0" collapsed="false">
      <c r="C4" s="469" t="s">
        <v>13</v>
      </c>
      <c r="D4" s="469" t="s">
        <v>25</v>
      </c>
      <c r="I4" s="0"/>
    </row>
    <row r="5" customFormat="false" ht="13.5" hidden="false" customHeight="false" outlineLevel="0" collapsed="false">
      <c r="B5" s="0" t="s">
        <v>107</v>
      </c>
      <c r="C5" s="0"/>
      <c r="D5" s="0"/>
      <c r="E5" s="0">
        <f aca="false">SUM(C5:D5)</f>
      </c>
    </row>
    <row r="6" customFormat="false" ht="13.5" hidden="false" customHeight="false" outlineLevel="0" collapsed="false">
      <c r="B6" s="0" t="s">
        <v>108</v>
      </c>
      <c r="C6" s="0"/>
      <c r="D6" s="0"/>
      <c r="E6" s="0">
        <f aca="false">SUM(C6:D6)</f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96484375" defaultRowHeight="13.5" zeroHeight="false" outlineLevelRow="0" outlineLevelCol="0"/>
  <cols>
    <col collapsed="false" customWidth="true" hidden="false" outlineLevel="0" max="2" min="1" style="0" width="13.11"/>
  </cols>
  <sheetData>
    <row r="2" customFormat="false" ht="13.5" hidden="false" customHeight="false" outlineLevel="0" collapsed="false">
      <c r="C2" s="469" t="s">
        <v>109</v>
      </c>
    </row>
    <row r="3" customFormat="false" ht="13.5" hidden="false" customHeight="false" outlineLevel="0" collapsed="false">
      <c r="A3" s="469" t="s">
        <v>110</v>
      </c>
      <c r="C3" s="0" t="n">
        <v>1</v>
      </c>
    </row>
    <row r="4" customFormat="false" ht="13.5" hidden="false" customHeight="false" outlineLevel="0" collapsed="false">
      <c r="A4" s="469" t="s">
        <v>111</v>
      </c>
      <c r="B4" s="0" t="s">
        <v>112</v>
      </c>
      <c r="C4" s="0" t="n">
        <v>0.6</v>
      </c>
    </row>
    <row r="5" customFormat="false" ht="13.5" hidden="false" customHeight="false" outlineLevel="0" collapsed="false">
      <c r="A5" s="469" t="s">
        <v>111</v>
      </c>
      <c r="B5" s="0" t="s">
        <v>113</v>
      </c>
      <c r="C5" s="0" t="n">
        <v>0.5</v>
      </c>
    </row>
    <row r="6" customFormat="false" ht="13.5" hidden="false" customHeight="false" outlineLevel="0" collapsed="false">
      <c r="A6" s="469" t="s">
        <v>114</v>
      </c>
      <c r="B6" s="469" t="s">
        <v>115</v>
      </c>
      <c r="C6" s="0" t="n">
        <v>0.5</v>
      </c>
    </row>
    <row r="7" customFormat="false" ht="13.5" hidden="false" customHeight="false" outlineLevel="0" collapsed="false">
      <c r="A7" s="469" t="s">
        <v>116</v>
      </c>
      <c r="C7" s="0" t="n">
        <v>0.4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2:O53"/>
  <sheetViews>
    <sheetView showFormulas="false" showGridLines="true" showRowColHeaders="true" showZeros="true" rightToLeft="false" tabSelected="false" showOutlineSymbols="true" defaultGridColor="true" view="normal" topLeftCell="A28" colorId="64" zoomScale="115" zoomScaleNormal="115" zoomScalePageLayoutView="100" workbookViewId="0">
      <selection pane="topLeft" activeCell="O39" activeCellId="0" sqref="O39"/>
    </sheetView>
  </sheetViews>
  <sheetFormatPr defaultColWidth="8.96484375" defaultRowHeight="13.5" zeroHeight="false" outlineLevelRow="0" outlineLevelCol="0"/>
  <cols>
    <col collapsed="false" customWidth="true" hidden="false" outlineLevel="0" max="2" min="2" style="0" width="10.99"/>
    <col collapsed="false" customWidth="true" hidden="false" outlineLevel="0" max="8" min="8" style="0" width="44.88"/>
    <col collapsed="false" customWidth="true" hidden="false" outlineLevel="0" max="9" min="9" style="0" width="8.32"/>
    <col collapsed="false" customWidth="true" hidden="false" outlineLevel="0" max="12" min="11" style="0" width="7.77"/>
    <col collapsed="false" customWidth="true" hidden="false" outlineLevel="0" max="13" min="13" style="0" width="12.21"/>
  </cols>
  <sheetData>
    <row r="2" customFormat="false" ht="13.5" hidden="false" customHeight="false" outlineLevel="0" collapsed="false">
      <c r="A2" s="448"/>
      <c r="B2" s="448"/>
      <c r="C2" s="448"/>
      <c r="D2" s="448"/>
      <c r="E2" s="448"/>
      <c r="F2" s="448"/>
      <c r="G2" s="448"/>
      <c r="H2" s="448"/>
      <c r="I2" s="448"/>
      <c r="J2" s="448"/>
      <c r="K2" s="448"/>
      <c r="L2" s="448"/>
      <c r="M2" s="448"/>
    </row>
    <row r="3" customFormat="false" ht="16.5" hidden="false" customHeight="false" outlineLevel="0" collapsed="false">
      <c r="A3" s="470"/>
      <c r="B3" s="470"/>
      <c r="C3" s="470"/>
      <c r="D3" s="470"/>
      <c r="E3" s="470"/>
      <c r="F3" s="470"/>
      <c r="G3" s="470"/>
      <c r="H3" s="470"/>
      <c r="I3" s="470"/>
      <c r="J3" s="470"/>
      <c r="K3" s="470"/>
      <c r="L3" s="470"/>
      <c r="M3" s="470"/>
    </row>
    <row r="4" customFormat="false" ht="16.5" hidden="false" customHeight="false" outlineLevel="0" collapsed="false">
      <c r="A4" s="470"/>
      <c r="B4" s="470"/>
      <c r="C4" s="470"/>
      <c r="D4" s="470"/>
      <c r="E4" s="470"/>
      <c r="F4" s="470"/>
      <c r="G4" s="470"/>
      <c r="H4" s="470"/>
      <c r="I4" s="470"/>
      <c r="J4" s="470"/>
      <c r="K4" s="470"/>
      <c r="L4" s="470"/>
      <c r="M4" s="470"/>
    </row>
    <row r="5" customFormat="false" ht="16.5" hidden="false" customHeight="false" outlineLevel="0" collapsed="false">
      <c r="A5" s="471"/>
      <c r="B5" s="471"/>
      <c r="C5" s="471"/>
      <c r="D5" s="471"/>
      <c r="E5" s="471"/>
      <c r="F5" s="471"/>
      <c r="G5" s="471"/>
      <c r="H5" s="471"/>
      <c r="I5" s="472"/>
      <c r="J5" s="473"/>
      <c r="K5" s="473"/>
      <c r="L5" s="473"/>
      <c r="M5" s="473"/>
    </row>
    <row r="6" customFormat="false" ht="16.5" hidden="false" customHeight="false" outlineLevel="0" collapsed="false">
      <c r="A6" s="471"/>
      <c r="B6" s="471"/>
      <c r="C6" s="471"/>
      <c r="D6" s="471"/>
      <c r="E6" s="471"/>
      <c r="F6" s="471"/>
      <c r="G6" s="471"/>
      <c r="H6" s="471"/>
      <c r="I6" s="472"/>
      <c r="J6" s="473"/>
      <c r="K6" s="473"/>
      <c r="L6" s="473"/>
      <c r="M6" s="473"/>
    </row>
    <row r="7" customFormat="false" ht="13.5" hidden="false" customHeight="false" outlineLevel="0" collapsed="false">
      <c r="A7" s="471"/>
      <c r="B7" s="471"/>
      <c r="C7" s="471"/>
      <c r="D7" s="471"/>
      <c r="E7" s="471"/>
      <c r="F7" s="471"/>
      <c r="G7" s="471"/>
      <c r="H7" s="471"/>
      <c r="I7" s="472"/>
      <c r="J7" s="471"/>
      <c r="K7" s="471"/>
      <c r="L7" s="471"/>
      <c r="M7" s="471"/>
    </row>
    <row r="8" customFormat="false" ht="13.5" hidden="false" customHeight="false" outlineLevel="0" collapsed="false">
      <c r="A8" s="471"/>
      <c r="B8" s="471"/>
      <c r="C8" s="471"/>
      <c r="D8" s="471"/>
      <c r="E8" s="471"/>
      <c r="F8" s="471"/>
      <c r="G8" s="471"/>
      <c r="H8" s="471"/>
      <c r="I8" s="472"/>
      <c r="J8" s="471"/>
      <c r="K8" s="471"/>
      <c r="L8" s="471"/>
      <c r="M8" s="471"/>
    </row>
    <row r="9" customFormat="false" ht="13.5" hidden="false" customHeight="false" outlineLevel="0" collapsed="false">
      <c r="A9" s="471"/>
      <c r="B9" s="471"/>
      <c r="C9" s="471"/>
      <c r="D9" s="471"/>
      <c r="E9" s="471"/>
      <c r="F9" s="471"/>
      <c r="G9" s="471"/>
      <c r="H9" s="471"/>
      <c r="I9" s="472"/>
      <c r="J9" s="471"/>
      <c r="K9" s="471"/>
      <c r="L9" s="471"/>
      <c r="M9" s="471"/>
    </row>
    <row r="10" customFormat="false" ht="13.5" hidden="false" customHeight="false" outlineLevel="0" collapsed="false">
      <c r="A10" s="471"/>
      <c r="B10" s="471"/>
      <c r="C10" s="471"/>
      <c r="D10" s="471"/>
      <c r="E10" s="471"/>
      <c r="F10" s="471"/>
      <c r="G10" s="471"/>
      <c r="H10" s="471"/>
      <c r="I10" s="472"/>
      <c r="J10" s="471"/>
      <c r="K10" s="471"/>
      <c r="L10" s="471"/>
      <c r="M10" s="471"/>
    </row>
    <row r="11" customFormat="false" ht="16.5" hidden="false" customHeight="false" outlineLevel="0" collapsed="false">
      <c r="A11" s="470"/>
      <c r="B11" s="470"/>
      <c r="C11" s="470"/>
      <c r="D11" s="470"/>
      <c r="E11" s="470"/>
      <c r="F11" s="470"/>
      <c r="G11" s="470"/>
      <c r="H11" s="470"/>
      <c r="I11" s="474"/>
      <c r="J11" s="475"/>
      <c r="K11" s="475"/>
      <c r="L11" s="475"/>
      <c r="M11" s="475"/>
    </row>
    <row r="12" customFormat="false" ht="16.5" hidden="false" customHeight="false" outlineLevel="0" collapsed="false">
      <c r="A12" s="448"/>
      <c r="B12" s="448"/>
      <c r="C12" s="448"/>
      <c r="D12" s="476"/>
      <c r="E12" s="448"/>
      <c r="F12" s="448"/>
      <c r="G12" s="448"/>
      <c r="H12" s="448"/>
      <c r="I12" s="448"/>
      <c r="J12" s="470"/>
      <c r="K12" s="470"/>
      <c r="L12" s="470"/>
      <c r="M12" s="475"/>
    </row>
    <row r="13" customFormat="false" ht="13.5" hidden="false" customHeight="false" outlineLevel="0" collapsed="false">
      <c r="A13" s="448"/>
      <c r="B13" s="448"/>
      <c r="C13" s="448"/>
      <c r="D13" s="476"/>
      <c r="E13" s="448"/>
      <c r="F13" s="448"/>
      <c r="G13" s="448"/>
      <c r="H13" s="448"/>
      <c r="I13" s="448"/>
      <c r="J13" s="448"/>
      <c r="K13" s="448"/>
      <c r="L13" s="448"/>
      <c r="M13" s="448"/>
    </row>
    <row r="14" customFormat="false" ht="16.5" hidden="false" customHeight="false" outlineLevel="0" collapsed="false">
      <c r="A14" s="470"/>
      <c r="B14" s="470"/>
      <c r="C14" s="470"/>
      <c r="D14" s="470"/>
      <c r="E14" s="470"/>
      <c r="F14" s="470"/>
      <c r="G14" s="470"/>
      <c r="H14" s="470"/>
      <c r="I14" s="470"/>
      <c r="J14" s="470"/>
      <c r="K14" s="470"/>
      <c r="L14" s="470"/>
      <c r="M14" s="470"/>
    </row>
    <row r="15" customFormat="false" ht="16.5" hidden="false" customHeight="false" outlineLevel="0" collapsed="false">
      <c r="A15" s="470"/>
      <c r="B15" s="470"/>
      <c r="C15" s="470"/>
      <c r="D15" s="470"/>
      <c r="E15" s="470"/>
      <c r="F15" s="470"/>
      <c r="G15" s="470"/>
      <c r="H15" s="470"/>
      <c r="I15" s="470"/>
      <c r="J15" s="470"/>
      <c r="K15" s="470"/>
      <c r="L15" s="470"/>
      <c r="M15" s="470"/>
    </row>
    <row r="16" customFormat="false" ht="16.5" hidden="false" customHeight="false" outlineLevel="0" collapsed="false">
      <c r="A16" s="471"/>
      <c r="B16" s="471"/>
      <c r="C16" s="471"/>
      <c r="D16" s="471"/>
      <c r="E16" s="471"/>
      <c r="F16" s="471"/>
      <c r="G16" s="471"/>
      <c r="H16" s="471"/>
      <c r="I16" s="472"/>
      <c r="J16" s="473"/>
      <c r="K16" s="473"/>
      <c r="L16" s="473"/>
      <c r="M16" s="473"/>
    </row>
    <row r="17" customFormat="false" ht="16.5" hidden="false" customHeight="false" outlineLevel="0" collapsed="false">
      <c r="A17" s="471"/>
      <c r="B17" s="471"/>
      <c r="C17" s="471"/>
      <c r="D17" s="471"/>
      <c r="E17" s="471"/>
      <c r="F17" s="471"/>
      <c r="G17" s="471"/>
      <c r="H17" s="471"/>
      <c r="I17" s="472"/>
      <c r="J17" s="473"/>
      <c r="K17" s="473"/>
      <c r="L17" s="473"/>
      <c r="M17" s="473"/>
    </row>
    <row r="18" customFormat="false" ht="13.5" hidden="false" customHeight="false" outlineLevel="0" collapsed="false">
      <c r="A18" s="471"/>
      <c r="B18" s="471"/>
      <c r="C18" s="471"/>
      <c r="D18" s="471"/>
      <c r="E18" s="471"/>
      <c r="F18" s="471"/>
      <c r="G18" s="471"/>
      <c r="H18" s="471"/>
      <c r="I18" s="472"/>
      <c r="J18" s="471"/>
      <c r="K18" s="471"/>
      <c r="L18" s="471"/>
      <c r="M18" s="471"/>
    </row>
    <row r="19" customFormat="false" ht="13.5" hidden="false" customHeight="false" outlineLevel="0" collapsed="false">
      <c r="A19" s="471"/>
      <c r="B19" s="471"/>
      <c r="C19" s="471"/>
      <c r="D19" s="471"/>
      <c r="E19" s="471"/>
      <c r="F19" s="471"/>
      <c r="G19" s="471"/>
      <c r="H19" s="471"/>
      <c r="I19" s="472"/>
      <c r="J19" s="471"/>
      <c r="K19" s="471"/>
      <c r="L19" s="471"/>
      <c r="M19" s="471"/>
    </row>
    <row r="20" customFormat="false" ht="13.5" hidden="false" customHeight="false" outlineLevel="0" collapsed="false">
      <c r="A20" s="471"/>
      <c r="B20" s="471"/>
      <c r="C20" s="471"/>
      <c r="D20" s="471"/>
      <c r="E20" s="471"/>
      <c r="F20" s="471"/>
      <c r="G20" s="471"/>
      <c r="H20" s="471"/>
      <c r="I20" s="472"/>
      <c r="J20" s="471"/>
      <c r="K20" s="471"/>
      <c r="L20" s="471"/>
      <c r="M20" s="471"/>
    </row>
    <row r="21" customFormat="false" ht="13.5" hidden="false" customHeight="false" outlineLevel="0" collapsed="false">
      <c r="A21" s="471"/>
      <c r="B21" s="471"/>
      <c r="C21" s="471"/>
      <c r="D21" s="471"/>
      <c r="E21" s="471"/>
      <c r="F21" s="471"/>
      <c r="G21" s="471"/>
      <c r="H21" s="471"/>
      <c r="I21" s="472"/>
      <c r="J21" s="471"/>
      <c r="K21" s="471"/>
      <c r="L21" s="471"/>
      <c r="M21" s="471"/>
    </row>
    <row r="22" customFormat="false" ht="13.5" hidden="false" customHeight="false" outlineLevel="0" collapsed="false">
      <c r="A22" s="471"/>
      <c r="B22" s="471"/>
      <c r="C22" s="471"/>
      <c r="D22" s="471"/>
      <c r="E22" s="471"/>
      <c r="F22" s="471"/>
      <c r="G22" s="471"/>
      <c r="H22" s="471"/>
      <c r="I22" s="472"/>
      <c r="J22" s="471"/>
      <c r="K22" s="471"/>
      <c r="L22" s="471"/>
      <c r="M22" s="471"/>
    </row>
    <row r="23" customFormat="false" ht="13.5" hidden="false" customHeight="false" outlineLevel="0" collapsed="false">
      <c r="A23" s="471"/>
      <c r="B23" s="471"/>
      <c r="C23" s="471"/>
      <c r="D23" s="471"/>
      <c r="E23" s="471"/>
      <c r="F23" s="471"/>
      <c r="G23" s="471"/>
      <c r="H23" s="471"/>
      <c r="I23" s="472"/>
      <c r="J23" s="471"/>
      <c r="K23" s="471"/>
      <c r="L23" s="471"/>
      <c r="M23" s="471"/>
    </row>
    <row r="24" customFormat="false" ht="13.5" hidden="false" customHeight="false" outlineLevel="0" collapsed="false">
      <c r="A24" s="471"/>
      <c r="B24" s="471"/>
      <c r="C24" s="471"/>
      <c r="D24" s="471"/>
      <c r="E24" s="471"/>
      <c r="F24" s="471"/>
      <c r="G24" s="471"/>
      <c r="H24" s="471"/>
      <c r="I24" s="472"/>
      <c r="J24" s="471"/>
      <c r="K24" s="471"/>
      <c r="L24" s="471"/>
      <c r="M24" s="471"/>
    </row>
    <row r="25" customFormat="false" ht="16.5" hidden="false" customHeight="false" outlineLevel="0" collapsed="false">
      <c r="A25" s="470"/>
      <c r="B25" s="470"/>
      <c r="C25" s="470"/>
      <c r="D25" s="470"/>
      <c r="E25" s="470"/>
      <c r="F25" s="470"/>
      <c r="G25" s="470"/>
      <c r="H25" s="470"/>
      <c r="I25" s="474"/>
      <c r="J25" s="475"/>
      <c r="K25" s="475"/>
      <c r="L25" s="475"/>
      <c r="M25" s="475"/>
    </row>
    <row r="26" customFormat="false" ht="16.5" hidden="false" customHeight="false" outlineLevel="0" collapsed="false">
      <c r="A26" s="448"/>
      <c r="B26" s="448"/>
      <c r="C26" s="448"/>
      <c r="D26" s="476"/>
      <c r="E26" s="448"/>
      <c r="F26" s="448"/>
      <c r="G26" s="448"/>
      <c r="H26" s="448"/>
      <c r="I26" s="448"/>
      <c r="J26" s="470"/>
      <c r="K26" s="470"/>
      <c r="L26" s="470"/>
      <c r="M26" s="475"/>
    </row>
    <row r="28" customFormat="false" ht="16.5" hidden="false" customHeight="false" outlineLevel="0" collapsed="false">
      <c r="A28" s="477"/>
      <c r="B28" s="477"/>
      <c r="C28" s="477"/>
      <c r="D28" s="477"/>
      <c r="E28" s="477"/>
      <c r="F28" s="477"/>
      <c r="G28" s="477"/>
      <c r="H28" s="477"/>
      <c r="I28" s="477"/>
      <c r="J28" s="477"/>
      <c r="K28" s="477"/>
      <c r="L28" s="477"/>
      <c r="M28" s="477"/>
      <c r="N28" s="477"/>
      <c r="O28" s="477"/>
    </row>
    <row r="29" customFormat="false" ht="16.5" hidden="false" customHeight="false" outlineLevel="0" collapsed="false">
      <c r="A29" s="0" t="s">
        <v>117</v>
      </c>
      <c r="O29" s="477"/>
    </row>
    <row r="30" customFormat="false" ht="16.5" hidden="false" customHeight="false" outlineLevel="0" collapsed="false">
      <c r="A30" s="470" t="s">
        <v>118</v>
      </c>
      <c r="B30" s="470"/>
      <c r="C30" s="470"/>
      <c r="D30" s="478" t="s">
        <v>119</v>
      </c>
      <c r="E30" s="478"/>
      <c r="F30" s="478"/>
      <c r="G30" s="478" t="s">
        <v>120</v>
      </c>
      <c r="H30" s="478"/>
      <c r="I30" s="478"/>
      <c r="J30" s="478" t="s">
        <v>121</v>
      </c>
      <c r="K30" s="478"/>
      <c r="L30" s="478"/>
      <c r="M30" s="478"/>
      <c r="O30" s="477"/>
    </row>
    <row r="31" customFormat="false" ht="16.5" hidden="false" customHeight="false" outlineLevel="0" collapsed="false">
      <c r="A31" s="478" t="s">
        <v>122</v>
      </c>
      <c r="B31" s="478" t="s">
        <v>123</v>
      </c>
      <c r="C31" s="478" t="s">
        <v>124</v>
      </c>
      <c r="D31" s="478" t="s">
        <v>122</v>
      </c>
      <c r="E31" s="478" t="s">
        <v>123</v>
      </c>
      <c r="F31" s="478" t="s">
        <v>124</v>
      </c>
      <c r="G31" s="478" t="s">
        <v>122</v>
      </c>
      <c r="H31" s="478" t="s">
        <v>123</v>
      </c>
      <c r="I31" s="478" t="s">
        <v>124</v>
      </c>
      <c r="J31" s="470"/>
      <c r="K31" s="478" t="s">
        <v>125</v>
      </c>
      <c r="L31" s="478"/>
      <c r="M31" s="478" t="s">
        <v>126</v>
      </c>
      <c r="O31" s="477"/>
    </row>
    <row r="32" customFormat="false" ht="16.5" hidden="false" customHeight="false" outlineLevel="0" collapsed="false">
      <c r="A32" s="471"/>
      <c r="B32" s="471" t="s">
        <v>127</v>
      </c>
      <c r="C32" s="471"/>
      <c r="D32" s="471" t="s">
        <v>44</v>
      </c>
      <c r="E32" s="471" t="s">
        <v>127</v>
      </c>
      <c r="F32" s="479"/>
      <c r="G32" s="471" t="s">
        <v>44</v>
      </c>
      <c r="H32" s="480"/>
      <c r="I32" s="481">
        <f aca="false">F32*H32</f>
      </c>
      <c r="J32" s="482" t="s">
        <v>128</v>
      </c>
      <c r="K32" s="483">
        <f aca="false">C44</f>
      </c>
      <c r="L32" s="484">
        <f aca="false">I44</f>
      </c>
      <c r="M32" s="485">
        <f aca="false">I44/C44</f>
      </c>
      <c r="O32" s="477"/>
    </row>
    <row r="33" customFormat="false" ht="16.5" hidden="false" customHeight="false" outlineLevel="0" collapsed="false">
      <c r="A33" s="471"/>
      <c r="B33" s="471" t="s">
        <v>127</v>
      </c>
      <c r="C33" s="481"/>
      <c r="D33" s="471" t="s">
        <v>129</v>
      </c>
      <c r="E33" s="471" t="s">
        <v>127</v>
      </c>
      <c r="F33" s="481"/>
      <c r="G33" s="471" t="s">
        <v>129</v>
      </c>
      <c r="H33" s="486"/>
      <c r="I33" s="481">
        <f aca="false">F33*H33/3*2</f>
      </c>
      <c r="J33" s="482"/>
      <c r="K33" s="487"/>
      <c r="L33" s="487"/>
      <c r="M33" s="473"/>
      <c r="O33" s="477"/>
    </row>
    <row r="34" customFormat="false" ht="16.5" hidden="false" customHeight="false" outlineLevel="0" collapsed="false">
      <c r="A34" s="471"/>
      <c r="B34" s="471" t="s">
        <v>127</v>
      </c>
      <c r="C34" s="481"/>
      <c r="D34" s="471" t="s">
        <v>130</v>
      </c>
      <c r="E34" s="471" t="s">
        <v>127</v>
      </c>
      <c r="F34" s="481"/>
      <c r="G34" s="471" t="s">
        <v>130</v>
      </c>
      <c r="H34" s="486"/>
      <c r="I34" s="481">
        <f aca="false">F34*H34</f>
      </c>
      <c r="J34" s="471"/>
      <c r="K34" s="487"/>
      <c r="L34" s="487"/>
      <c r="M34" s="471"/>
      <c r="O34" s="477"/>
    </row>
    <row r="35" customFormat="false" ht="16.5" hidden="false" customHeight="false" outlineLevel="0" collapsed="false">
      <c r="A35" s="471"/>
      <c r="B35" s="471" t="s">
        <v>127</v>
      </c>
      <c r="C35" s="471"/>
      <c r="D35" s="471" t="s">
        <v>131</v>
      </c>
      <c r="E35" s="471" t="s">
        <v>127</v>
      </c>
      <c r="F35" s="481"/>
      <c r="G35" s="471" t="s">
        <v>131</v>
      </c>
      <c r="H35" s="486"/>
      <c r="I35" s="481">
        <f aca="false">F35*H35/3*2</f>
      </c>
      <c r="J35" s="471"/>
      <c r="K35" s="487"/>
      <c r="L35" s="487"/>
      <c r="M35" s="471"/>
      <c r="O35" s="477"/>
    </row>
    <row r="36" customFormat="false" ht="16.5" hidden="false" customHeight="false" outlineLevel="0" collapsed="false">
      <c r="A36" s="471"/>
      <c r="B36" s="471" t="s">
        <v>127</v>
      </c>
      <c r="C36" s="471"/>
      <c r="D36" s="471" t="s">
        <v>118</v>
      </c>
      <c r="E36" s="471" t="s">
        <v>127</v>
      </c>
      <c r="F36" s="471"/>
      <c r="G36" s="471" t="s">
        <v>118</v>
      </c>
      <c r="H36" s="486"/>
      <c r="I36" s="481">
        <f aca="false">F36*H36</f>
      </c>
      <c r="J36" s="471"/>
      <c r="K36" s="487"/>
      <c r="L36" s="487"/>
      <c r="M36" s="471"/>
      <c r="O36" s="477"/>
    </row>
    <row r="37" customFormat="false" ht="16.5" hidden="false" customHeight="false" outlineLevel="0" collapsed="false">
      <c r="A37" s="471"/>
      <c r="B37" s="471" t="s">
        <v>127</v>
      </c>
      <c r="C37" s="481"/>
      <c r="D37" s="471" t="s">
        <v>132</v>
      </c>
      <c r="E37" s="471" t="s">
        <v>127</v>
      </c>
      <c r="F37" s="471"/>
      <c r="G37" s="471" t="s">
        <v>132</v>
      </c>
      <c r="H37" s="486"/>
      <c r="I37" s="481">
        <f aca="false">F37*H37</f>
      </c>
      <c r="J37" s="471"/>
      <c r="K37" s="487"/>
      <c r="L37" s="487"/>
      <c r="M37" s="471"/>
      <c r="O37" s="477"/>
    </row>
    <row r="38" customFormat="false" ht="16.5" hidden="false" customHeight="false" outlineLevel="0" collapsed="false">
      <c r="A38" s="471"/>
      <c r="B38" s="471" t="s">
        <v>127</v>
      </c>
      <c r="C38" s="481"/>
      <c r="D38" s="471" t="s">
        <v>133</v>
      </c>
      <c r="E38" s="471" t="s">
        <v>127</v>
      </c>
      <c r="F38" s="471"/>
      <c r="G38" s="471" t="s">
        <v>133</v>
      </c>
      <c r="H38" s="486"/>
      <c r="I38" s="481">
        <f aca="false">F38*H38/3</f>
      </c>
      <c r="J38" s="471"/>
      <c r="K38" s="487"/>
      <c r="L38" s="487"/>
      <c r="M38" s="471"/>
      <c r="O38" s="477"/>
    </row>
    <row r="39" customFormat="false" ht="16.5" hidden="false" customHeight="false" outlineLevel="0" collapsed="false">
      <c r="A39" s="471"/>
      <c r="B39" s="471" t="s">
        <v>127</v>
      </c>
      <c r="C39" s="471"/>
      <c r="D39" s="471" t="s">
        <v>134</v>
      </c>
      <c r="E39" s="471" t="s">
        <v>127</v>
      </c>
      <c r="F39" s="471"/>
      <c r="G39" s="471" t="s">
        <v>134</v>
      </c>
      <c r="H39" s="486"/>
      <c r="I39" s="481">
        <f aca="false">F39*H39</f>
      </c>
      <c r="J39" s="471"/>
      <c r="K39" s="487"/>
      <c r="L39" s="487"/>
      <c r="M39" s="471"/>
      <c r="O39" s="477"/>
    </row>
    <row r="40" customFormat="false" ht="16.5" hidden="false" customHeight="false" outlineLevel="0" collapsed="false">
      <c r="A40" s="471"/>
      <c r="B40" s="471"/>
      <c r="C40" s="471"/>
      <c r="D40" s="471"/>
      <c r="E40" s="471"/>
      <c r="F40" s="471"/>
      <c r="G40" s="471"/>
      <c r="H40" s="486"/>
      <c r="I40" s="481"/>
      <c r="J40" s="471"/>
      <c r="K40" s="487"/>
      <c r="L40" s="487"/>
      <c r="M40" s="471"/>
      <c r="O40" s="477"/>
    </row>
    <row r="41" customFormat="false" ht="16.5" hidden="false" customHeight="false" outlineLevel="0" collapsed="false">
      <c r="A41" s="471"/>
      <c r="B41" s="471"/>
      <c r="C41" s="471"/>
      <c r="D41" s="471"/>
      <c r="E41" s="471"/>
      <c r="F41" s="471"/>
      <c r="G41" s="471"/>
      <c r="H41" s="486"/>
      <c r="I41" s="481"/>
      <c r="J41" s="471"/>
      <c r="K41" s="487"/>
      <c r="L41" s="487"/>
      <c r="M41" s="471"/>
      <c r="O41" s="477"/>
    </row>
    <row r="42" customFormat="false" ht="16.5" hidden="false" customHeight="false" outlineLevel="0" collapsed="false">
      <c r="A42" s="471"/>
      <c r="B42" s="471"/>
      <c r="C42" s="471"/>
      <c r="D42" s="471"/>
      <c r="E42" s="471"/>
      <c r="F42" s="471"/>
      <c r="G42" s="471"/>
      <c r="H42" s="486"/>
      <c r="I42" s="481"/>
      <c r="J42" s="471"/>
      <c r="K42" s="487"/>
      <c r="L42" s="487"/>
      <c r="M42" s="471"/>
      <c r="O42" s="477"/>
    </row>
    <row r="43" customFormat="false" ht="16.5" hidden="false" customHeight="false" outlineLevel="0" collapsed="false">
      <c r="A43" s="488"/>
      <c r="B43" s="471"/>
      <c r="C43" s="489"/>
      <c r="D43" s="489"/>
      <c r="E43" s="471"/>
      <c r="F43" s="490"/>
      <c r="G43" s="489"/>
      <c r="H43" s="491"/>
      <c r="I43" s="472"/>
      <c r="J43" s="490"/>
      <c r="K43" s="487"/>
      <c r="L43" s="487"/>
      <c r="M43" s="490"/>
      <c r="O43" s="477"/>
    </row>
    <row r="44" customFormat="false" ht="16.5" hidden="false" customHeight="false" outlineLevel="0" collapsed="false">
      <c r="A44" s="478" t="s">
        <v>19</v>
      </c>
      <c r="B44" s="470"/>
      <c r="C44" s="492">
        <f aca="false">SUM(C32:C42)-C41-C42</f>
      </c>
      <c r="D44" s="470"/>
      <c r="E44" s="470"/>
      <c r="F44" s="470"/>
      <c r="G44" s="478" t="s">
        <v>19</v>
      </c>
      <c r="H44" s="470"/>
      <c r="I44" s="492">
        <f aca="false">SUM(I32:I42)</f>
      </c>
      <c r="J44" s="475"/>
      <c r="K44" s="493"/>
      <c r="L44" s="493"/>
      <c r="M44" s="475"/>
      <c r="O44" s="477"/>
    </row>
    <row r="45" customFormat="false" ht="16.5" hidden="false" customHeight="false" outlineLevel="0" collapsed="false">
      <c r="A45" s="448"/>
      <c r="B45" s="448"/>
      <c r="C45" s="448"/>
      <c r="D45" s="476"/>
      <c r="E45" s="448"/>
      <c r="F45" s="448"/>
      <c r="G45" s="448"/>
      <c r="H45" s="448"/>
      <c r="I45" s="448"/>
      <c r="J45" s="478" t="s">
        <v>135</v>
      </c>
      <c r="K45" s="478"/>
      <c r="L45" s="478"/>
      <c r="M45" s="494">
        <f aca="false">M32</f>
      </c>
      <c r="O45" s="477"/>
    </row>
    <row r="46" customFormat="false" ht="16.5" hidden="false" customHeight="false" outlineLevel="0" collapsed="false">
      <c r="N46" s="477"/>
      <c r="O46" s="477"/>
    </row>
    <row r="47" customFormat="false" ht="16.5" hidden="false" customHeight="false" outlineLevel="0" collapsed="false">
      <c r="A47" s="477"/>
      <c r="B47" s="477"/>
      <c r="C47" s="477"/>
      <c r="D47" s="477"/>
      <c r="E47" s="477"/>
      <c r="F47" s="477"/>
      <c r="G47" s="477"/>
      <c r="H47" s="477"/>
      <c r="I47" s="477"/>
      <c r="J47" s="477"/>
      <c r="K47" s="477"/>
      <c r="L47" s="477"/>
      <c r="M47" s="477"/>
    </row>
    <row r="53" customFormat="false" ht="13.5" hidden="false" customHeight="false" outlineLevel="0" collapsed="false">
      <c r="L53" s="0"/>
      <c r="M53" s="0"/>
      <c r="N53" s="495">
        <f aca="false">L53/M53</f>
      </c>
    </row>
  </sheetData>
  <mergeCells count="31">
    <mergeCell ref="A3:C3"/>
    <mergeCell ref="D3:F3"/>
    <mergeCell ref="G3:I3"/>
    <mergeCell ref="J3:M3"/>
    <mergeCell ref="J5:J6"/>
    <mergeCell ref="J12:L12"/>
    <mergeCell ref="A14:C14"/>
    <mergeCell ref="D14:F14"/>
    <mergeCell ref="G14:I14"/>
    <mergeCell ref="J14:M14"/>
    <mergeCell ref="J16:J17"/>
    <mergeCell ref="J26:L26"/>
    <mergeCell ref="A30:C30"/>
    <mergeCell ref="D30:F30"/>
    <mergeCell ref="G30:I30"/>
    <mergeCell ref="J30:M30"/>
    <mergeCell ref="K31:L31"/>
    <mergeCell ref="J32:J33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J45:L4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4:S85"/>
  <sheetViews>
    <sheetView showFormulas="false" showGridLines="true" showRowColHeaders="true" showZeros="true" rightToLeft="false" tabSelected="false" showOutlineSymbols="true" defaultGridColor="true" view="normal" topLeftCell="A54" colorId="64" zoomScale="130" zoomScaleNormal="130" zoomScalePageLayoutView="100" workbookViewId="0">
      <selection pane="topLeft" activeCell="I69" activeCellId="0" sqref="I69"/>
    </sheetView>
  </sheetViews>
  <sheetFormatPr defaultColWidth="8.96484375" defaultRowHeight="13.5" zeroHeight="false" outlineLevelRow="0" outlineLevelCol="0"/>
  <cols>
    <col collapsed="false" customWidth="true" hidden="false" outlineLevel="0" max="2" min="2" style="0" width="17.99"/>
    <col collapsed="false" customWidth="true" hidden="false" outlineLevel="0" max="3" min="3" style="0" width="9.88"/>
    <col collapsed="false" customWidth="true" hidden="false" outlineLevel="0" max="4" min="4" style="0" width="18.44"/>
    <col collapsed="false" customWidth="true" hidden="false" outlineLevel="0" max="5" min="5" style="0" width="15.21"/>
    <col collapsed="false" customWidth="true" hidden="false" outlineLevel="0" max="6" min="6" style="0" width="8.66"/>
    <col collapsed="false" customWidth="true" hidden="false" outlineLevel="0" max="7" min="7" style="0" width="12.66"/>
  </cols>
  <sheetData>
    <row r="4" customFormat="false" ht="13.5" hidden="false" customHeight="false" outlineLevel="0" collapsed="false">
      <c r="B4" s="496" t="s">
        <v>26</v>
      </c>
      <c r="C4" s="448"/>
      <c r="D4" s="448"/>
      <c r="E4" s="497">
        <f aca="false">+D4*0.3</f>
      </c>
      <c r="F4" s="448"/>
      <c r="G4" s="448"/>
      <c r="H4" s="448"/>
    </row>
    <row r="5" customFormat="false" ht="13.5" hidden="false" customHeight="false" outlineLevel="0" collapsed="false">
      <c r="B5" s="496" t="s">
        <v>136</v>
      </c>
      <c r="C5" s="448"/>
      <c r="D5" s="448"/>
      <c r="E5" s="448"/>
      <c r="F5" s="448"/>
      <c r="G5" s="448"/>
      <c r="H5" s="448"/>
    </row>
    <row r="6" customFormat="false" ht="16.5" hidden="false" customHeight="false" outlineLevel="0" collapsed="false">
      <c r="B6" s="498" t="s">
        <v>137</v>
      </c>
      <c r="C6" s="498" t="s">
        <v>138</v>
      </c>
      <c r="D6" s="499" t="s">
        <v>109</v>
      </c>
      <c r="E6" s="499" t="s">
        <v>139</v>
      </c>
      <c r="F6" s="499" t="s">
        <v>140</v>
      </c>
      <c r="G6" s="499" t="s">
        <v>141</v>
      </c>
      <c r="H6" s="500" t="s">
        <v>20</v>
      </c>
    </row>
    <row r="7" customFormat="false" ht="13.5" hidden="false" customHeight="false" outlineLevel="0" collapsed="false">
      <c r="B7" s="498" t="s">
        <v>110</v>
      </c>
      <c r="C7" s="501" t="s">
        <v>142</v>
      </c>
      <c r="D7" s="471"/>
      <c r="E7" s="499" t="s">
        <v>143</v>
      </c>
      <c r="F7" s="471"/>
      <c r="G7" s="471">
        <f aca="false">+ROUND(D7*F7,2)</f>
      </c>
      <c r="H7" s="462"/>
    </row>
    <row r="8" customFormat="false" ht="16.5" hidden="false" customHeight="false" outlineLevel="0" collapsed="false">
      <c r="B8" s="498" t="s">
        <v>144</v>
      </c>
      <c r="C8" s="502" t="s">
        <v>145</v>
      </c>
      <c r="D8" s="471"/>
      <c r="E8" s="499" t="s">
        <v>146</v>
      </c>
      <c r="F8" s="471"/>
      <c r="G8" s="471">
        <f aca="false">+ROUND(D8*F8,2)</f>
      </c>
      <c r="H8" s="462"/>
    </row>
    <row r="9" customFormat="false" ht="13.5" hidden="false" customHeight="false" outlineLevel="0" collapsed="false">
      <c r="B9" s="498" t="s">
        <v>114</v>
      </c>
      <c r="C9" s="501" t="s">
        <v>147</v>
      </c>
      <c r="D9" s="471"/>
      <c r="E9" s="499" t="s">
        <v>148</v>
      </c>
      <c r="F9" s="471"/>
      <c r="G9" s="471">
        <f aca="false">+ROUND(D9*F9,2)</f>
      </c>
      <c r="H9" s="462"/>
    </row>
    <row r="10" customFormat="false" ht="13.5" hidden="false" customHeight="false" outlineLevel="0" collapsed="false">
      <c r="B10" s="498" t="s">
        <v>14</v>
      </c>
      <c r="C10" s="501"/>
      <c r="D10" s="471"/>
      <c r="E10" s="471"/>
      <c r="F10" s="471">
        <f aca="false">SUM(F7:F9)</f>
      </c>
      <c r="G10" s="481">
        <f aca="false">SUM(G7:G9)</f>
      </c>
      <c r="H10" s="462"/>
    </row>
    <row r="11" customFormat="false" ht="13.5" hidden="false" customHeight="false" outlineLevel="0" collapsed="false">
      <c r="B11" s="448"/>
      <c r="C11" s="448"/>
      <c r="D11" s="448"/>
      <c r="E11" s="448"/>
      <c r="F11" s="448"/>
      <c r="G11" s="448"/>
      <c r="H11" s="448"/>
    </row>
    <row r="12" customFormat="false" ht="13.5" hidden="false" customHeight="false" outlineLevel="0" collapsed="false">
      <c r="B12" s="496" t="s">
        <v>149</v>
      </c>
      <c r="C12" s="448"/>
      <c r="D12" s="503"/>
      <c r="E12" s="448"/>
      <c r="F12" s="448"/>
      <c r="G12" s="448"/>
      <c r="H12" s="448"/>
    </row>
    <row r="13" customFormat="false" ht="13.5" hidden="false" customHeight="false" outlineLevel="0" collapsed="false">
      <c r="B13" s="496" t="s">
        <v>150</v>
      </c>
      <c r="C13" s="448"/>
      <c r="D13" s="504">
        <f aca="false">+G10/D4</f>
      </c>
      <c r="E13" s="448"/>
      <c r="F13" s="448"/>
      <c r="G13" s="448"/>
      <c r="H13" s="448"/>
      <c r="M13" s="0"/>
    </row>
    <row r="14" customFormat="false" ht="13.5" hidden="false" customHeight="false" outlineLevel="0" collapsed="false">
      <c r="M14" s="0"/>
    </row>
    <row r="15" customFormat="false" ht="13.5" hidden="false" customHeight="false" outlineLevel="0" collapsed="false">
      <c r="M15" s="0">
        <f aca="false">M13-M14</f>
      </c>
    </row>
    <row r="26" customFormat="false" ht="13.5" hidden="false" customHeight="false" outlineLevel="0" collapsed="false">
      <c r="B26" s="496" t="s">
        <v>26</v>
      </c>
      <c r="C26" s="448"/>
      <c r="D26" s="448"/>
      <c r="E26" s="497">
        <f aca="false">+D26*0.3</f>
      </c>
      <c r="F26" s="448"/>
      <c r="G26" s="448"/>
      <c r="H26" s="448"/>
    </row>
    <row r="27" customFormat="false" ht="13.5" hidden="false" customHeight="false" outlineLevel="0" collapsed="false">
      <c r="B27" s="496" t="s">
        <v>136</v>
      </c>
      <c r="C27" s="448"/>
      <c r="D27" s="448"/>
      <c r="E27" s="448"/>
      <c r="F27" s="448"/>
      <c r="G27" s="448"/>
      <c r="H27" s="448"/>
    </row>
    <row r="28" customFormat="false" ht="16.5" hidden="false" customHeight="false" outlineLevel="0" collapsed="false">
      <c r="B28" s="498" t="s">
        <v>137</v>
      </c>
      <c r="C28" s="498" t="s">
        <v>138</v>
      </c>
      <c r="D28" s="499" t="s">
        <v>109</v>
      </c>
      <c r="E28" s="499" t="s">
        <v>139</v>
      </c>
      <c r="F28" s="499" t="s">
        <v>140</v>
      </c>
      <c r="G28" s="499" t="s">
        <v>141</v>
      </c>
      <c r="H28" s="500" t="s">
        <v>20</v>
      </c>
    </row>
    <row r="29" customFormat="false" ht="13.5" hidden="false" customHeight="false" outlineLevel="0" collapsed="false">
      <c r="B29" s="498" t="s">
        <v>110</v>
      </c>
      <c r="C29" s="501" t="s">
        <v>142</v>
      </c>
      <c r="D29" s="471"/>
      <c r="E29" s="499" t="s">
        <v>143</v>
      </c>
      <c r="F29" s="471"/>
      <c r="G29" s="471">
        <f aca="false">+ROUND(D29*F29,2)</f>
      </c>
      <c r="H29" s="462"/>
    </row>
    <row r="30" customFormat="false" ht="16.5" hidden="false" customHeight="false" outlineLevel="0" collapsed="false">
      <c r="B30" s="498" t="s">
        <v>144</v>
      </c>
      <c r="C30" s="502" t="s">
        <v>145</v>
      </c>
      <c r="D30" s="471"/>
      <c r="E30" s="499" t="s">
        <v>146</v>
      </c>
      <c r="F30" s="471"/>
      <c r="G30" s="471">
        <f aca="false">+ROUND(D30*F30,2)</f>
      </c>
      <c r="H30" s="462"/>
    </row>
    <row r="31" customFormat="false" ht="13.5" hidden="false" customHeight="false" outlineLevel="0" collapsed="false">
      <c r="B31" s="498" t="s">
        <v>114</v>
      </c>
      <c r="C31" s="501" t="s">
        <v>147</v>
      </c>
      <c r="D31" s="471"/>
      <c r="E31" s="499" t="s">
        <v>148</v>
      </c>
      <c r="F31" s="471"/>
      <c r="G31" s="471">
        <f aca="false">+ROUND(D31*F31,2)</f>
      </c>
      <c r="H31" s="462"/>
    </row>
    <row r="32" customFormat="false" ht="13.5" hidden="false" customHeight="false" outlineLevel="0" collapsed="false">
      <c r="B32" s="498" t="s">
        <v>14</v>
      </c>
      <c r="C32" s="501"/>
      <c r="D32" s="471"/>
      <c r="E32" s="471"/>
      <c r="F32" s="471">
        <f aca="false">SUM(F29:F31)</f>
      </c>
      <c r="G32" s="481">
        <f aca="false">SUM(G29:G31)</f>
      </c>
      <c r="H32" s="462"/>
    </row>
    <row r="33" customFormat="false" ht="13.5" hidden="false" customHeight="false" outlineLevel="0" collapsed="false">
      <c r="B33" s="448"/>
      <c r="C33" s="448"/>
      <c r="D33" s="448"/>
      <c r="E33" s="448"/>
      <c r="F33" s="448"/>
      <c r="G33" s="448"/>
      <c r="H33" s="448"/>
    </row>
    <row r="34" customFormat="false" ht="13.5" hidden="false" customHeight="false" outlineLevel="0" collapsed="false">
      <c r="B34" s="496" t="s">
        <v>149</v>
      </c>
      <c r="C34" s="448"/>
      <c r="D34" s="503"/>
      <c r="E34" s="448"/>
      <c r="F34" s="448"/>
      <c r="G34" s="448"/>
      <c r="H34" s="448"/>
    </row>
    <row r="35" customFormat="false" ht="13.5" hidden="false" customHeight="false" outlineLevel="0" collapsed="false">
      <c r="B35" s="496" t="s">
        <v>150</v>
      </c>
      <c r="C35" s="448"/>
      <c r="D35" s="504">
        <f aca="false">+G32/D26</f>
      </c>
      <c r="E35" s="448"/>
      <c r="F35" s="448"/>
      <c r="G35" s="448"/>
      <c r="H35" s="448"/>
    </row>
    <row r="55" customFormat="false" ht="13.5" hidden="false" customHeight="false" outlineLevel="0" collapsed="false"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</row>
    <row r="56" customFormat="false" ht="13.5" hidden="false" customHeight="false" outlineLevel="0" collapsed="false"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</row>
    <row r="57" customFormat="false" ht="13.5" hidden="false" customHeight="false" outlineLevel="0" collapsed="false"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</row>
    <row r="58" customFormat="false" ht="13.5" hidden="false" customHeight="false" outlineLevel="0" collapsed="false">
      <c r="I58" s="505"/>
      <c r="J58" s="506"/>
      <c r="K58" s="505"/>
      <c r="L58" s="505"/>
      <c r="M58" s="505"/>
      <c r="N58" s="505"/>
      <c r="O58" s="505"/>
      <c r="P58" s="505"/>
      <c r="Q58" s="505"/>
      <c r="R58" s="505"/>
      <c r="S58" s="505"/>
    </row>
    <row r="59" customFormat="false" ht="13.5" hidden="false" customHeight="false" outlineLevel="0" collapsed="false"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</row>
    <row r="60" customFormat="false" ht="13.5" hidden="false" customHeight="false" outlineLevel="0" collapsed="false">
      <c r="B60" s="496" t="s">
        <v>26</v>
      </c>
      <c r="C60" s="448"/>
      <c r="D60" s="448"/>
      <c r="E60" s="497">
        <f aca="false">+D60*0.3</f>
      </c>
      <c r="F60" s="448"/>
      <c r="G60" s="448"/>
      <c r="H60" s="448"/>
      <c r="I60" s="505"/>
      <c r="J60" s="505"/>
      <c r="K60" s="505"/>
      <c r="L60" s="507"/>
      <c r="M60" s="507"/>
      <c r="N60" s="507"/>
      <c r="O60" s="508"/>
      <c r="P60" s="507"/>
      <c r="Q60" s="507"/>
      <c r="R60" s="507"/>
      <c r="S60" s="505"/>
    </row>
    <row r="61" customFormat="false" ht="13.5" hidden="false" customHeight="false" outlineLevel="0" collapsed="false">
      <c r="B61" s="496" t="s">
        <v>136</v>
      </c>
      <c r="C61" s="448"/>
      <c r="D61" s="448"/>
      <c r="E61" s="448"/>
      <c r="F61" s="448"/>
      <c r="G61" s="448"/>
      <c r="H61" s="448"/>
      <c r="I61" s="505"/>
      <c r="J61" s="505"/>
      <c r="K61" s="505"/>
      <c r="L61" s="507"/>
      <c r="M61" s="507"/>
      <c r="N61" s="507"/>
      <c r="O61" s="507"/>
      <c r="P61" s="507"/>
      <c r="Q61" s="507"/>
      <c r="R61" s="507"/>
      <c r="S61" s="505"/>
    </row>
    <row r="62" customFormat="false" ht="16.5" hidden="false" customHeight="false" outlineLevel="0" collapsed="false">
      <c r="B62" s="499" t="s">
        <v>137</v>
      </c>
      <c r="C62" s="499" t="s">
        <v>138</v>
      </c>
      <c r="D62" s="499" t="s">
        <v>109</v>
      </c>
      <c r="E62" s="499" t="s">
        <v>139</v>
      </c>
      <c r="F62" s="499" t="s">
        <v>140</v>
      </c>
      <c r="G62" s="499" t="s">
        <v>141</v>
      </c>
      <c r="H62" s="499" t="s">
        <v>20</v>
      </c>
      <c r="I62" s="505"/>
      <c r="J62" s="505"/>
      <c r="K62" s="505"/>
      <c r="L62" s="506"/>
      <c r="M62" s="506"/>
      <c r="N62" s="506"/>
      <c r="O62" s="506"/>
      <c r="P62" s="506"/>
      <c r="Q62" s="506"/>
      <c r="R62" s="506"/>
      <c r="S62" s="505"/>
    </row>
    <row r="63" customFormat="false" ht="13.5" hidden="false" customHeight="false" outlineLevel="0" collapsed="false">
      <c r="B63" s="499" t="s">
        <v>110</v>
      </c>
      <c r="C63" s="471"/>
      <c r="D63" s="471"/>
      <c r="E63" s="499" t="s">
        <v>143</v>
      </c>
      <c r="F63" s="481"/>
      <c r="G63" s="481">
        <f aca="false">+ROUND(D63*F63,2)</f>
      </c>
      <c r="H63" s="509"/>
      <c r="I63" s="505"/>
      <c r="J63" s="505"/>
      <c r="K63" s="505"/>
      <c r="L63" s="506"/>
      <c r="M63" s="506"/>
      <c r="N63" s="506"/>
      <c r="O63" s="506"/>
      <c r="P63" s="506"/>
      <c r="Q63" s="506"/>
      <c r="R63" s="507"/>
      <c r="S63" s="505"/>
    </row>
    <row r="64" customFormat="false" ht="16.5" hidden="false" customHeight="false" outlineLevel="0" collapsed="false">
      <c r="B64" s="499" t="s">
        <v>114</v>
      </c>
      <c r="C64" s="510"/>
      <c r="D64" s="471"/>
      <c r="E64" s="499" t="s">
        <v>151</v>
      </c>
      <c r="F64" s="471"/>
      <c r="G64" s="481">
        <f aca="false">+ROUND(D64*F64,2)</f>
      </c>
      <c r="H64" s="509"/>
      <c r="I64" s="505"/>
      <c r="J64" s="505"/>
      <c r="K64" s="505"/>
      <c r="L64" s="506"/>
      <c r="M64" s="511"/>
      <c r="N64" s="506"/>
      <c r="O64" s="506"/>
      <c r="P64" s="506"/>
      <c r="Q64" s="506"/>
      <c r="R64" s="507"/>
      <c r="S64" s="505"/>
    </row>
    <row r="65" customFormat="false" ht="13.5" hidden="false" customHeight="false" outlineLevel="0" collapsed="false">
      <c r="B65" s="499" t="s">
        <v>111</v>
      </c>
      <c r="C65" s="471"/>
      <c r="D65" s="471"/>
      <c r="E65" s="499" t="s">
        <v>148</v>
      </c>
      <c r="F65" s="471"/>
      <c r="G65" s="471">
        <f aca="false">+ROUND(D65*F65,2)</f>
      </c>
      <c r="H65" s="509"/>
      <c r="I65" s="505"/>
      <c r="J65" s="505"/>
      <c r="K65" s="505"/>
      <c r="L65" s="506"/>
      <c r="M65" s="506"/>
      <c r="N65" s="506"/>
      <c r="O65" s="506"/>
      <c r="P65" s="506"/>
      <c r="Q65" s="506"/>
      <c r="R65" s="507"/>
      <c r="S65" s="505"/>
    </row>
    <row r="66" customFormat="false" ht="13.5" hidden="false" customHeight="false" outlineLevel="0" collapsed="false">
      <c r="B66" s="512" t="s">
        <v>116</v>
      </c>
      <c r="C66" s="512"/>
      <c r="D66" s="512"/>
      <c r="E66" s="512" t="s">
        <v>116</v>
      </c>
      <c r="F66" s="512"/>
      <c r="G66" s="471">
        <f aca="false">+ROUND(D66*F66,2)</f>
      </c>
      <c r="H66" s="509"/>
      <c r="I66" s="505"/>
      <c r="J66" s="505"/>
      <c r="K66" s="505"/>
      <c r="L66" s="506"/>
      <c r="M66" s="506"/>
      <c r="N66" s="506"/>
      <c r="O66" s="506"/>
      <c r="P66" s="506"/>
      <c r="Q66" s="513"/>
      <c r="R66" s="507"/>
      <c r="S66" s="505"/>
    </row>
    <row r="67" customFormat="false" ht="13.5" hidden="false" customHeight="false" outlineLevel="0" collapsed="false">
      <c r="B67" s="471"/>
      <c r="C67" s="471"/>
      <c r="D67" s="471"/>
      <c r="E67" s="471"/>
      <c r="F67" s="471"/>
      <c r="G67" s="471"/>
      <c r="H67" s="509"/>
      <c r="I67" s="505"/>
      <c r="J67" s="505"/>
      <c r="K67" s="505"/>
      <c r="L67" s="507"/>
      <c r="M67" s="507"/>
      <c r="N67" s="507"/>
      <c r="O67" s="507"/>
      <c r="P67" s="507"/>
      <c r="Q67" s="507"/>
      <c r="R67" s="507"/>
      <c r="S67" s="505"/>
    </row>
    <row r="68" customFormat="false" ht="13.5" hidden="false" customHeight="false" outlineLevel="0" collapsed="false">
      <c r="B68" s="471"/>
      <c r="C68" s="471"/>
      <c r="D68" s="471"/>
      <c r="E68" s="471"/>
      <c r="F68" s="471"/>
      <c r="G68" s="471"/>
      <c r="H68" s="509"/>
      <c r="I68" s="505"/>
      <c r="J68" s="505"/>
      <c r="K68" s="505"/>
      <c r="L68" s="507"/>
      <c r="M68" s="507"/>
      <c r="N68" s="514"/>
      <c r="O68" s="507"/>
      <c r="P68" s="507"/>
      <c r="Q68" s="507"/>
      <c r="R68" s="507"/>
      <c r="S68" s="505"/>
    </row>
    <row r="69" customFormat="false" ht="13.5" hidden="false" customHeight="false" outlineLevel="0" collapsed="false">
      <c r="B69" s="499" t="s">
        <v>14</v>
      </c>
      <c r="C69" s="471"/>
      <c r="D69" s="471"/>
      <c r="E69" s="471"/>
      <c r="F69" s="481">
        <f aca="false">SUM(F63:F67)</f>
      </c>
      <c r="G69" s="481">
        <f aca="false">SUM(G63:G68)</f>
      </c>
      <c r="H69" s="509"/>
      <c r="I69" s="505"/>
      <c r="J69" s="505"/>
      <c r="K69" s="505"/>
      <c r="L69" s="507"/>
      <c r="M69" s="507"/>
      <c r="N69" s="515"/>
      <c r="O69" s="507"/>
      <c r="P69" s="507"/>
      <c r="Q69" s="507"/>
      <c r="R69" s="507"/>
      <c r="S69" s="505"/>
    </row>
    <row r="70" customFormat="false" ht="13.5" hidden="false" customHeight="false" outlineLevel="0" collapsed="false">
      <c r="B70" s="496" t="s">
        <v>149</v>
      </c>
      <c r="C70" s="448"/>
      <c r="D70" s="503"/>
      <c r="E70" s="448"/>
      <c r="F70" s="448"/>
      <c r="G70" s="448"/>
      <c r="I70" s="505"/>
      <c r="J70" s="505"/>
      <c r="K70" s="505"/>
      <c r="L70" s="505"/>
      <c r="M70" s="505"/>
      <c r="N70" s="505"/>
      <c r="O70" s="505"/>
      <c r="P70" s="505"/>
      <c r="Q70" s="505"/>
      <c r="R70" s="505"/>
      <c r="S70" s="505"/>
    </row>
    <row r="71" customFormat="false" ht="13.5" hidden="false" customHeight="false" outlineLevel="0" collapsed="false">
      <c r="B71" s="496" t="s">
        <v>150</v>
      </c>
      <c r="C71" s="448"/>
      <c r="D71" s="504">
        <f aca="false">+G69/D60</f>
      </c>
      <c r="E71" s="448"/>
      <c r="F71" s="448"/>
      <c r="G71" s="448"/>
      <c r="I71" s="505"/>
      <c r="J71" s="505"/>
      <c r="K71" s="505"/>
      <c r="L71" s="505"/>
      <c r="M71" s="505"/>
      <c r="N71" s="505"/>
      <c r="O71" s="505"/>
      <c r="P71" s="505"/>
      <c r="Q71" s="505"/>
      <c r="R71" s="505"/>
      <c r="S71" s="505"/>
    </row>
    <row r="72" customFormat="false" ht="13.5" hidden="false" customHeight="false" outlineLevel="0" collapsed="false">
      <c r="I72" s="505"/>
      <c r="J72" s="505"/>
      <c r="K72" s="505"/>
      <c r="L72" s="505"/>
      <c r="M72" s="505"/>
      <c r="N72" s="505"/>
      <c r="O72" s="505"/>
      <c r="P72" s="505"/>
      <c r="Q72" s="505"/>
      <c r="R72" s="505"/>
      <c r="S72" s="505"/>
    </row>
    <row r="73" customFormat="false" ht="13.5" hidden="false" customHeight="false" outlineLevel="0" collapsed="false"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</row>
    <row r="74" customFormat="false" ht="13.5" hidden="false" customHeight="false" outlineLevel="0" collapsed="false">
      <c r="I74" s="505"/>
      <c r="J74" s="505"/>
      <c r="K74" s="505"/>
      <c r="L74" s="505"/>
      <c r="M74" s="505"/>
      <c r="N74" s="505"/>
      <c r="O74" s="505"/>
      <c r="P74" s="505"/>
      <c r="Q74" s="505"/>
      <c r="R74" s="505"/>
      <c r="S74" s="505"/>
    </row>
    <row r="75" customFormat="false" ht="13.5" hidden="false" customHeight="false" outlineLevel="0" collapsed="false">
      <c r="I75" s="505"/>
      <c r="J75" s="505"/>
      <c r="K75" s="505"/>
      <c r="L75" s="505"/>
      <c r="M75" s="505"/>
      <c r="N75" s="505"/>
      <c r="O75" s="505"/>
      <c r="P75" s="505"/>
      <c r="Q75" s="505"/>
      <c r="R75" s="505"/>
      <c r="S75" s="505"/>
    </row>
    <row r="76" customFormat="false" ht="13.5" hidden="false" customHeight="false" outlineLevel="0" collapsed="false">
      <c r="E76" s="495"/>
      <c r="F76" s="448"/>
      <c r="G76" s="448"/>
      <c r="H76" s="448">
        <f aca="false">SUM(F76:G76)</f>
      </c>
    </row>
    <row r="77" customFormat="false" ht="13.5" hidden="false" customHeight="false" outlineLevel="0" collapsed="false">
      <c r="F77" s="504">
        <f aca="false">F76/H76</f>
      </c>
      <c r="G77" s="504">
        <f aca="false">G76/H76</f>
      </c>
      <c r="H77" s="448"/>
    </row>
    <row r="83" customFormat="false" ht="13.5" hidden="false" customHeight="false" outlineLevel="0" collapsed="false">
      <c r="D83" s="516"/>
    </row>
    <row r="85" customFormat="false" ht="13.5" hidden="false" customHeight="false" outlineLevel="0" collapsed="false">
      <c r="D85" s="5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2001-10-18T09:55:47Z</dcterms:created>
  <dc:creator>이정희</dc:creator>
  <dc:description/>
  <dc:language>en-US</dc:language>
  <cp:lastModifiedBy>이 지상</cp:lastModifiedBy>
  <cp:lastPrinted>2023-12-12T17:37:18Z</cp:lastPrinted>
  <dcterms:modified xsi:type="dcterms:W3CDTF">2024-02-20T11:26:27Z</dcterms:modified>
  <cp:revision>0</cp:revision>
  <dc:subject/>
  <dc:title/>
</cp:coreProperties>
</file>