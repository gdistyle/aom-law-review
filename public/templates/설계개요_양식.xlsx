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설계개요" sheetId="1" state="visible" r:id="rId1"/>
    <sheet xmlns:r="http://schemas.openxmlformats.org/officeDocument/2006/relationships" name="토지내역" sheetId="2" state="visible" r:id="rId2"/>
  </sheets>
  <definedNames>
    <definedName name="_xlfn__FV" hidden="0" function="0" vbProcedure="0">none</definedName>
    <definedName name="_xlnm.Print_Area" localSheetId="0">'설계개요'!$B$1:$AD$38</definedName>
    <definedName name="_xlnm.Print_Area" localSheetId="1">'토지내역'!$A$1:$I$29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5">
    <numFmt numFmtId="164" formatCode="#,##0_ "/>
    <numFmt numFmtId="165" formatCode="#,##0.00_ "/>
    <numFmt numFmtId="166" formatCode="#,##0.00\㎡"/>
    <numFmt numFmtId="167" formatCode="_-* #,##0_-;\-* #,##0_-;_-* \-_-;_-@_-"/>
    <numFmt numFmtId="168" formatCode="\(#,##0.00&quot;평)&quot;"/>
    <numFmt numFmtId="169" formatCode="##\층"/>
    <numFmt numFmtId="170" formatCode="#,##0\㎡"/>
    <numFmt numFmtId="171" formatCode="_-* #,##0.00_-;\-* #,##0.00_-;_-* \-_-;_-@_-"/>
    <numFmt numFmtId="172" formatCode="#,##0.00_);[RED]\(#,##0.00\)"/>
    <numFmt numFmtId="173" formatCode="#\대"/>
    <numFmt numFmtId="174" formatCode="&quot;  /  &quot;#&quot;㎡    =&quot;"/>
    <numFmt numFmtId="175" formatCode="#.##&quot; 대&quot;"/>
    <numFmt numFmtId="176" formatCode="#.#&quot; 대&quot;"/>
    <numFmt numFmtId="177" formatCode="#.00&quot; 대&quot;"/>
    <numFmt numFmtId="178" formatCode="&quot;지하&quot;##\층"/>
    <numFmt numFmtId="179" formatCode="0\대"/>
    <numFmt numFmtId="180" formatCode="#,##0.00&quot;㎡ x&quot;"/>
    <numFmt numFmtId="181" formatCode="\(#,##0.00\)"/>
    <numFmt numFmtId="182" formatCode="0.00%\ "/>
    <numFmt numFmtId="183" formatCode="0.00_ "/>
    <numFmt numFmtId="184" formatCode="0,000&quot;만원&quot;"/>
    <numFmt numFmtId="185" formatCode="0.000"/>
    <numFmt numFmtId="186" formatCode="#,##0.00&quot;㎡&quot;"/>
    <numFmt numFmtId="187" formatCode="0&quot; 대&quot;"/>
    <numFmt numFmtId="188" formatCode="0&quot;층&quot;"/>
  </numFmts>
  <fonts count="43">
    <font>
      <name val="맑은 고딕"/>
      <charset val="129"/>
      <family val="3"/>
      <sz val="11"/>
    </font>
    <font>
      <name val="맑은 고딕"/>
      <family val="0"/>
      <sz val="10"/>
    </font>
    <font>
      <name val="맑은 고딕"/>
      <family val="0"/>
      <sz val="10"/>
    </font>
    <font>
      <name val="맑은 고딕"/>
      <family val="0"/>
      <sz val="10"/>
    </font>
    <font>
      <name val="맑은 고딕"/>
      <charset val="129"/>
      <family val="1"/>
      <sz val="11"/>
    </font>
    <font>
      <name val="맑은 고딕"/>
      <family val="2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8"/>
    </font>
    <font>
      <name val="맑은 고딕"/>
      <family val="2"/>
      <sz val="12"/>
    </font>
    <font>
      <name val="맑은 고딕"/>
      <charset val="129"/>
      <family val="3"/>
      <b val="1"/>
      <sz val="12"/>
    </font>
    <font>
      <name val="맑은 고딕"/>
      <family val="2"/>
      <b val="1"/>
      <sz val="12"/>
    </font>
    <font>
      <name val="맑은 고딕"/>
      <charset val="129"/>
      <family val="3"/>
      <sz val="12"/>
    </font>
    <font>
      <name val="맑은 고딕"/>
      <charset val="129"/>
      <family val="3"/>
      <color rgb="FFFFFF00"/>
      <sz val="11"/>
    </font>
    <font>
      <name val="맑은 고딕"/>
      <charset val="129"/>
      <family val="3"/>
      <color rgb="FFFF0000"/>
      <sz val="12"/>
    </font>
    <font>
      <name val="맑은 고딕"/>
      <charset val="129"/>
      <family val="3"/>
      <color rgb="FFFF0000"/>
      <sz val="11"/>
    </font>
    <font>
      <name val="맑은 고딕"/>
      <charset val="129"/>
      <family val="1"/>
      <b val="1"/>
      <sz val="11"/>
    </font>
    <font>
      <name val="맑은 고딕"/>
      <family val="2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C0C0C0"/>
      <sz val="12"/>
    </font>
    <font>
      <name val="맑은 고딕"/>
      <charset val="129"/>
      <family val="1"/>
      <sz val="11"/>
    </font>
    <font>
      <name val="맑은 고딕"/>
      <charset val="129"/>
      <family val="3"/>
      <b val="1"/>
      <color rgb="FF000000"/>
      <sz val="9"/>
    </font>
    <font>
      <name val="맑은 고딕"/>
      <family val="2"/>
      <color rgb="FF000000"/>
      <sz val="9"/>
    </font>
    <font>
      <name val="맑은 고딕"/>
      <charset val="129"/>
      <family val="3"/>
      <color rgb="FF000000"/>
      <sz val="9"/>
    </font>
    <font>
      <name val="맑은 고딕"/>
      <family val="2"/>
      <b val="1"/>
      <sz val="11"/>
    </font>
    <font>
      <name val="맑은 고딕"/>
      <family val="2"/>
      <b val="1"/>
      <sz val="9"/>
    </font>
    <font>
      <name val="맑은 고딕"/>
      <charset val="129"/>
      <family val="3"/>
      <b val="1"/>
      <sz val="9"/>
    </font>
    <font>
      <name val="맑은 고딕"/>
      <family val="2"/>
      <sz val="9"/>
    </font>
    <font>
      <name val="맑은 고딕"/>
      <charset val="129"/>
      <family val="3"/>
      <sz val="9"/>
    </font>
    <font>
      <name val="맑은 고딕"/>
      <family val="2"/>
      <color rgb="FFFFFFFF"/>
      <sz val="9"/>
    </font>
    <font>
      <name val="맑은 고딕"/>
      <charset val="129"/>
      <family val="3"/>
      <color rgb="FFFFFFFF"/>
      <sz val="9"/>
    </font>
    <font>
      <name val="맑은 고딕"/>
      <family val="2"/>
      <color rgb="FFFFFFFF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8000"/>
      <sz val="11"/>
    </font>
    <font>
      <name val="맑은 고딕"/>
      <family val="2"/>
      <b val="1"/>
      <color rgb="FF000000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333399"/>
      <sz val="11"/>
    </font>
    <font>
      <name val="맑은 고딕"/>
      <family val="2"/>
      <color rgb="FF000000"/>
      <sz val="11"/>
    </font>
    <font>
      <name val="맑은 고딕"/>
      <charset val="129"/>
      <family val="3"/>
      <color rgb="FF000000"/>
      <sz val="11"/>
    </font>
    <font>
      <name val="맑은 고딕"/>
      <b val="1"/>
      <sz val="11"/>
    </font>
    <font>
      <name val="맑은 고딕"/>
      <sz val="11"/>
    </font>
    <font>
      <name val="맑은 고딕"/>
      <color rgb="FF595959"/>
      <sz val="9"/>
    </font>
    <font>
      <name val="맑은 고딕"/>
      <sz val="12"/>
    </font>
  </fonts>
  <fills count="11">
    <fill>
      <patternFill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69696"/>
        <bgColor rgb="FF808080"/>
      </patternFill>
    </fill>
    <fill>
      <patternFill patternType="solid">
        <fgColor rgb="FF333333"/>
        <bgColor rgb="FF333300"/>
      </patternFill>
    </fill>
    <fill>
      <patternFill patternType="solid">
        <fgColor rgb="FFC0C0C0"/>
      </patternFill>
    </fill>
  </fills>
  <borders count="1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/>
      <diagonal/>
    </border>
    <border>
      <left/>
      <right style="medium"/>
      <top style="thick"/>
      <bottom style="medium"/>
      <diagonal/>
    </border>
    <border>
      <left style="medium"/>
      <right/>
      <top style="thick"/>
      <bottom style="medium"/>
      <diagonal/>
    </border>
    <border>
      <left/>
      <right/>
      <top style="thick"/>
      <bottom style="medium"/>
      <diagonal/>
    </border>
    <border diagonalDown="1">
      <left/>
      <right style="medium"/>
      <top style="thick"/>
      <bottom style="medium"/>
      <diagonal style="hair"/>
    </border>
    <border>
      <left style="medium"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 style="thin"/>
      <right style="medium"/>
      <top style="thick"/>
      <bottom style="thin"/>
      <diagonal/>
    </border>
    <border>
      <left/>
      <right/>
      <top style="thick"/>
      <bottom style="thin"/>
      <diagonal/>
    </border>
    <border>
      <left style="medium"/>
      <right style="medium"/>
      <top style="thick"/>
      <bottom/>
      <diagonal/>
    </border>
    <border>
      <left style="medium"/>
      <right style="thin"/>
      <top style="thick"/>
      <bottom style="medium"/>
      <diagonal/>
    </border>
    <border>
      <left style="thin"/>
      <right style="thin"/>
      <top style="thick"/>
      <bottom style="medium"/>
      <diagonal/>
    </border>
    <border>
      <left style="thin"/>
      <right style="medium"/>
      <top style="thick"/>
      <bottom style="medium"/>
      <diagonal/>
    </border>
    <border>
      <left style="medium"/>
      <right style="medium"/>
      <top style="thick"/>
      <bottom style="medium"/>
      <diagonal/>
    </border>
    <border>
      <left/>
      <right style="medium"/>
      <top style="medium"/>
      <bottom/>
      <diagonal/>
    </border>
    <border>
      <left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 style="medium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/>
      <right style="medium"/>
      <top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/>
      <diagonal/>
    </border>
    <border>
      <left style="medium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medium"/>
      <top style="thin"/>
      <bottom style="thin"/>
      <diagonal/>
    </border>
    <border>
      <left/>
      <right style="medium"/>
      <top/>
      <bottom style="medium"/>
      <diagonal/>
    </border>
    <border>
      <left style="thin"/>
      <right/>
      <top/>
      <bottom style="medium"/>
      <diagonal/>
    </border>
    <border>
      <left/>
      <right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 style="medium"/>
      <diagonal/>
    </border>
    <border>
      <left style="medium"/>
      <right/>
      <top style="thin"/>
      <bottom style="thin"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 style="medium"/>
      <top style="thin"/>
      <bottom style="thin"/>
      <diagonal/>
    </border>
    <border>
      <left style="thin"/>
      <right style="thin"/>
      <top style="medium"/>
      <bottom/>
      <diagonal/>
    </border>
    <border>
      <left style="medium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thin"/>
      <bottom/>
      <diagonal/>
    </border>
    <border>
      <left style="thin"/>
      <right style="thin"/>
      <top/>
      <bottom style="medium"/>
      <diagonal/>
    </border>
    <border>
      <left style="medium"/>
      <right style="medium"/>
      <top style="thin"/>
      <bottom/>
      <diagonal/>
    </border>
    <border>
      <left style="medium"/>
      <right style="medium"/>
      <top/>
      <bottom/>
      <diagonal/>
    </border>
    <border>
      <left style="medium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 style="medium"/>
      <top/>
      <bottom style="thin"/>
      <diagonal/>
    </border>
    <border>
      <left style="thin"/>
      <right/>
      <top style="medium"/>
      <bottom style="medium"/>
      <diagonal/>
    </border>
    <border>
      <left style="thin"/>
      <right/>
      <top style="medium"/>
      <bottom/>
      <diagonal/>
    </border>
    <border>
      <left style="medium"/>
      <right style="medium"/>
      <top style="medium"/>
      <bottom/>
      <diagonal/>
    </border>
    <border>
      <left/>
      <right style="thin"/>
      <top style="medium"/>
      <bottom style="thick"/>
      <diagonal/>
    </border>
    <border>
      <left/>
      <right style="medium"/>
      <top/>
      <bottom style="thick"/>
      <diagonal/>
    </border>
    <border>
      <left/>
      <right style="thin"/>
      <top style="thin"/>
      <bottom style="thick"/>
      <diagonal/>
    </border>
    <border>
      <left/>
      <right/>
      <top style="thin"/>
      <bottom style="thick"/>
      <diagonal/>
    </border>
    <border>
      <left style="medium"/>
      <right style="thin"/>
      <top/>
      <bottom style="thick"/>
      <diagonal/>
    </border>
    <border>
      <left/>
      <right style="thin"/>
      <top/>
      <bottom style="thick"/>
      <diagonal/>
    </border>
    <border>
      <left style="thin"/>
      <right style="thin"/>
      <top/>
      <bottom style="thick"/>
      <diagonal/>
    </border>
    <border>
      <left style="thin"/>
      <right/>
      <top/>
      <bottom style="thick"/>
      <diagonal/>
    </border>
    <border>
      <left style="thin"/>
      <right style="medium"/>
      <top/>
      <bottom style="thick"/>
      <diagonal/>
    </border>
    <border>
      <left style="medium"/>
      <right style="medium"/>
      <top/>
      <bottom style="thick"/>
      <diagonal/>
    </border>
    <border>
      <left/>
      <right style="thin"/>
      <top style="thick"/>
      <bottom style="medium"/>
      <diagonal/>
    </border>
    <border>
      <left style="thin"/>
      <right/>
      <top style="thick"/>
      <bottom style="medium"/>
      <diagonal/>
    </border>
    <border>
      <left/>
      <right style="medium"/>
      <top style="thin"/>
      <bottom style="medium"/>
      <diagonal/>
    </border>
    <border>
      <left style="thin"/>
      <right style="thin"/>
      <top style="medium"/>
      <bottom style="thick"/>
      <diagonal/>
    </border>
    <border>
      <left/>
      <right/>
      <top style="medium"/>
      <bottom style="thick"/>
      <diagonal/>
    </border>
    <border>
      <left/>
      <right style="thin"/>
      <top/>
      <bottom style="medium"/>
      <diagonal/>
    </border>
    <border>
      <left style="medium"/>
      <right/>
      <top style="thick"/>
      <bottom style="thin"/>
      <diagonal/>
    </border>
    <border>
      <left style="medium"/>
      <right style="medium"/>
      <top style="thick"/>
      <bottom style="thin"/>
      <diagonal/>
    </border>
    <border>
      <left/>
      <right style="medium"/>
      <top style="thick"/>
      <bottom style="thin"/>
      <diagonal/>
    </border>
    <border>
      <left/>
      <right/>
      <top style="thick"/>
      <bottom/>
      <diagonal/>
    </border>
    <border>
      <left style="medium"/>
      <right style="medium"/>
      <top style="thin"/>
      <bottom style="medium"/>
      <diagonal/>
    </border>
    <border>
      <left style="medium"/>
      <right/>
      <top style="thin"/>
      <bottom style="medium"/>
      <diagonal/>
    </border>
    <border>
      <left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thick"/>
      <diagonal/>
    </border>
    <border>
      <left style="thin"/>
      <right style="medium"/>
      <top style="medium"/>
      <bottom style="thick"/>
      <diagonal/>
    </border>
    <border>
      <left style="medium"/>
      <right style="medium"/>
      <top style="medium"/>
      <bottom style="thick"/>
      <diagonal/>
    </border>
    <border>
      <left style="medium"/>
      <right style="thin"/>
      <top style="medium"/>
      <bottom style="thick"/>
      <diagonal/>
    </border>
    <border>
      <left style="medium"/>
      <right/>
      <top style="medium"/>
      <bottom style="thick"/>
      <diagonal/>
    </border>
    <border>
      <left style="thin"/>
      <right style="thin"/>
      <top/>
      <bottom/>
      <diagonal/>
    </border>
    <border>
      <left/>
      <right style="thin"/>
      <top style="thick"/>
      <bottom/>
      <diagonal/>
    </border>
    <border>
      <left/>
      <right style="thin"/>
      <top style="thick"/>
      <bottom style="thin"/>
      <diagonal/>
    </border>
    <border>
      <left/>
      <right style="medium"/>
      <top style="thick"/>
      <bottom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 style="thin"/>
      <diagonal/>
    </border>
    <border>
      <left style="medium"/>
      <right/>
      <top/>
      <bottom style="medium"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/>
      <right style="thin"/>
      <top style="thin"/>
      <bottom style="thin"/>
    </border>
  </borders>
  <cellStyleXfs count="9">
    <xf numFmtId="0" fontId="6" fillId="0" borderId="0" applyAlignment="1">
      <alignment horizontal="general" vertical="bottom"/>
    </xf>
    <xf numFmtId="43" fontId="3" fillId="0" borderId="0"/>
    <xf numFmtId="167" fontId="6" fillId="0" borderId="0"/>
    <xf numFmtId="44" fontId="3" fillId="0" borderId="0"/>
    <xf numFmtId="42" fontId="3" fillId="0" borderId="0"/>
    <xf numFmtId="9" fontId="6" fillId="0" borderId="0"/>
    <xf numFmtId="167" fontId="6" fillId="0" borderId="0"/>
    <xf numFmtId="0" fontId="33" fillId="2" borderId="0"/>
    <xf numFmtId="0" fontId="36" fillId="3" borderId="1"/>
  </cellStyleXfs>
  <cellXfs count="943"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center"/>
    </xf>
    <xf numFmtId="165" fontId="4" fillId="0" borderId="0" applyAlignment="1" pivotButton="0" quotePrefix="0" xfId="0">
      <alignment horizontal="general" vertical="center"/>
    </xf>
    <xf numFmtId="165" fontId="4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general" vertical="center"/>
    </xf>
    <xf numFmtId="165" fontId="7" fillId="4" borderId="0" applyAlignment="1" pivotButton="0" quotePrefix="0" xfId="0">
      <alignment horizontal="general" vertical="center"/>
    </xf>
    <xf numFmtId="165" fontId="6" fillId="4" borderId="0" applyAlignment="1" pivotButton="0" quotePrefix="0" xfId="0">
      <alignment horizontal="general" vertical="center"/>
    </xf>
    <xf numFmtId="165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general" vertical="center"/>
    </xf>
    <xf numFmtId="165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general" vertical="center"/>
    </xf>
    <xf numFmtId="165" fontId="8" fillId="4" borderId="0" applyAlignment="1" pivotButton="0" quotePrefix="0" xfId="0">
      <alignment horizontal="general" vertical="center"/>
    </xf>
    <xf numFmtId="165" fontId="9" fillId="4" borderId="2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general" vertical="center"/>
    </xf>
    <xf numFmtId="165" fontId="8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general" vertical="center"/>
    </xf>
    <xf numFmtId="165" fontId="8" fillId="5" borderId="3" applyAlignment="1" pivotButton="0" quotePrefix="0" xfId="0">
      <alignment horizontal="center" vertical="center"/>
    </xf>
    <xf numFmtId="165" fontId="8" fillId="5" borderId="4" applyAlignment="1" pivotButton="0" quotePrefix="0" xfId="0">
      <alignment horizontal="left" vertical="center"/>
    </xf>
    <xf numFmtId="165" fontId="11" fillId="5" borderId="5" applyAlignment="1" pivotButton="0" quotePrefix="0" xfId="0">
      <alignment horizontal="general" vertical="center"/>
    </xf>
    <xf numFmtId="165" fontId="11" fillId="5" borderId="6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165" fontId="8" fillId="5" borderId="8" applyAlignment="1" pivotButton="0" quotePrefix="0" xfId="0">
      <alignment horizontal="center" vertical="center"/>
    </xf>
    <xf numFmtId="165" fontId="8" fillId="5" borderId="9" applyAlignment="1" pivotButton="0" quotePrefix="0" xfId="0">
      <alignment horizontal="center" vertical="center"/>
    </xf>
    <xf numFmtId="165" fontId="8" fillId="5" borderId="10" applyAlignment="1" pivotButton="0" quotePrefix="0" xfId="0">
      <alignment horizontal="center" vertical="center"/>
    </xf>
    <xf numFmtId="165" fontId="11" fillId="5" borderId="11" applyAlignment="1" pivotButton="0" quotePrefix="0" xfId="0">
      <alignment horizontal="center" vertical="center"/>
    </xf>
    <xf numFmtId="165" fontId="8" fillId="5" borderId="12" applyAlignment="1" pivotButton="0" quotePrefix="0" xfId="0">
      <alignment horizontal="center" vertical="center"/>
    </xf>
    <xf numFmtId="165" fontId="8" fillId="5" borderId="13" applyAlignment="1" pivotButton="0" quotePrefix="0" xfId="0">
      <alignment horizontal="center" vertical="center"/>
    </xf>
    <xf numFmtId="165" fontId="8" fillId="5" borderId="14" applyAlignment="1" pivotButton="0" quotePrefix="0" xfId="0">
      <alignment horizontal="center" vertical="center" wrapText="1"/>
    </xf>
    <xf numFmtId="165" fontId="8" fillId="5" borderId="15" applyAlignment="1" pivotButton="0" quotePrefix="0" xfId="0">
      <alignment horizontal="center" vertical="center"/>
    </xf>
    <xf numFmtId="165" fontId="8" fillId="5" borderId="5" applyAlignment="1" pivotButton="0" quotePrefix="0" xfId="0">
      <alignment horizontal="center" vertical="center"/>
    </xf>
    <xf numFmtId="165" fontId="11" fillId="5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8" fillId="5" borderId="16" applyAlignment="1" pivotButton="0" quotePrefix="0" xfId="0">
      <alignment horizontal="center" vertical="center"/>
    </xf>
    <xf numFmtId="165" fontId="8" fillId="4" borderId="17" applyAlignment="1" pivotButton="0" quotePrefix="0" xfId="0">
      <alignment horizontal="center" vertical="center"/>
    </xf>
    <xf numFmtId="165" fontId="8" fillId="4" borderId="18" applyAlignment="1" pivotButton="0" quotePrefix="0" xfId="0">
      <alignment horizontal="left" vertical="center"/>
    </xf>
    <xf numFmtId="165" fontId="11" fillId="4" borderId="19" applyAlignment="1" pivotButton="0" quotePrefix="0" xfId="0">
      <alignment horizontal="general" vertical="center"/>
    </xf>
    <xf numFmtId="165" fontId="11" fillId="5" borderId="20" applyAlignment="1" pivotButton="0" quotePrefix="0" xfId="0">
      <alignment horizontal="center" vertical="center"/>
    </xf>
    <xf numFmtId="165" fontId="11" fillId="5" borderId="21" applyAlignment="1" pivotButton="0" quotePrefix="0" xfId="0">
      <alignment horizontal="center" vertical="center"/>
    </xf>
    <xf numFmtId="165" fontId="11" fillId="5" borderId="22" applyAlignment="1" pivotButton="0" quotePrefix="0" xfId="0">
      <alignment horizontal="center" vertical="center"/>
    </xf>
    <xf numFmtId="165" fontId="11" fillId="5" borderId="23" applyAlignment="1" pivotButton="0" quotePrefix="0" xfId="0">
      <alignment horizontal="center" vertical="center"/>
    </xf>
    <xf numFmtId="165" fontId="8" fillId="5" borderId="24" applyAlignment="1" pivotButton="0" quotePrefix="0" xfId="0">
      <alignment horizontal="center" vertical="center"/>
    </xf>
    <xf numFmtId="165" fontId="8" fillId="5" borderId="22" applyAlignment="1" pivotButton="0" quotePrefix="0" xfId="0">
      <alignment horizontal="center" vertical="center"/>
    </xf>
    <xf numFmtId="165" fontId="8" fillId="5" borderId="25" applyAlignment="1" pivotButton="0" quotePrefix="0" xfId="0">
      <alignment horizontal="center" vertical="center"/>
    </xf>
    <xf numFmtId="165" fontId="8" fillId="5" borderId="20" applyAlignment="1" pivotButton="0" quotePrefix="0" xfId="0">
      <alignment horizontal="center" vertical="center"/>
    </xf>
    <xf numFmtId="165" fontId="8" fillId="5" borderId="23" applyAlignment="1" pivotButton="0" quotePrefix="0" xfId="0">
      <alignment horizontal="center" vertical="center"/>
    </xf>
    <xf numFmtId="165" fontId="11" fillId="5" borderId="26" applyAlignment="1" pivotButton="0" quotePrefix="0" xfId="0">
      <alignment horizontal="center" vertical="center"/>
    </xf>
    <xf numFmtId="165" fontId="8" fillId="3" borderId="27" applyAlignment="1" pivotButton="0" quotePrefix="0" xfId="0">
      <alignment horizontal="center" vertical="center"/>
    </xf>
    <xf numFmtId="167" fontId="11" fillId="3" borderId="28" applyAlignment="1" pivotButton="0" quotePrefix="0" xfId="16">
      <alignment horizontal="center" vertical="center"/>
    </xf>
    <xf numFmtId="166" fontId="11" fillId="3" borderId="29" applyAlignment="1" pivotButton="0" quotePrefix="0" xfId="0">
      <alignment horizontal="general" vertical="center"/>
    </xf>
    <xf numFmtId="168" fontId="11" fillId="3" borderId="29" applyAlignment="1" pivotButton="0" quotePrefix="0" xfId="0">
      <alignment horizontal="general" vertical="center"/>
    </xf>
    <xf numFmtId="165" fontId="11" fillId="3" borderId="29" applyAlignment="1" pivotButton="0" quotePrefix="0" xfId="0">
      <alignment horizontal="general" vertical="center"/>
    </xf>
    <xf numFmtId="169" fontId="11" fillId="5" borderId="30" applyAlignment="1" pivotButton="0" quotePrefix="0" xfId="0">
      <alignment horizontal="center" vertical="center"/>
    </xf>
    <xf numFmtId="167" fontId="11" fillId="0" borderId="31" applyAlignment="1" pivotButton="0" quotePrefix="0" xfId="16">
      <alignment horizontal="general" vertical="center"/>
    </xf>
    <xf numFmtId="167" fontId="11" fillId="0" borderId="32" applyAlignment="1" pivotButton="0" quotePrefix="0" xfId="16">
      <alignment horizontal="general" vertical="center"/>
    </xf>
    <xf numFmtId="167" fontId="11" fillId="0" borderId="33" applyAlignment="1" pivotButton="0" quotePrefix="0" xfId="16">
      <alignment horizontal="general" vertical="center"/>
    </xf>
    <xf numFmtId="167" fontId="11" fillId="5" borderId="34" applyAlignment="1" pivotButton="0" quotePrefix="0" xfId="16">
      <alignment horizontal="general" vertical="center"/>
    </xf>
    <xf numFmtId="167" fontId="11" fillId="5" borderId="35" applyAlignment="1" pivotButton="0" quotePrefix="0" xfId="16">
      <alignment horizontal="general" vertical="center"/>
    </xf>
    <xf numFmtId="167" fontId="11" fillId="0" borderId="17" applyAlignment="1" pivotButton="0" quotePrefix="0" xfId="16">
      <alignment horizontal="general" vertical="center"/>
    </xf>
    <xf numFmtId="167" fontId="11" fillId="0" borderId="34" applyAlignment="1" pivotButton="0" quotePrefix="0" xfId="16">
      <alignment horizontal="general" vertical="center"/>
    </xf>
    <xf numFmtId="167" fontId="11" fillId="5" borderId="18" applyAlignment="1" pivotButton="0" quotePrefix="0" xfId="16">
      <alignment horizontal="general" vertical="center"/>
    </xf>
    <xf numFmtId="167" fontId="11" fillId="0" borderId="36" applyAlignment="1" pivotButton="0" quotePrefix="0" xfId="16">
      <alignment horizontal="general" vertical="center"/>
    </xf>
    <xf numFmtId="167" fontId="11" fillId="0" borderId="37" applyAlignment="1" pivotButton="0" quotePrefix="0" xfId="16">
      <alignment horizontal="general" vertical="center"/>
    </xf>
    <xf numFmtId="167" fontId="11" fillId="0" borderId="38" applyAlignment="1" pivotButton="0" quotePrefix="0" xfId="16">
      <alignment horizontal="general" vertical="center"/>
    </xf>
    <xf numFmtId="165" fontId="11" fillId="6" borderId="39" applyAlignment="1" pivotButton="0" quotePrefix="0" xfId="16">
      <alignment horizontal="general" vertical="center"/>
    </xf>
    <xf numFmtId="165" fontId="11" fillId="0" borderId="19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9" fontId="6" fillId="3" borderId="0" applyAlignment="1" pivotButton="0" quotePrefix="0" xfId="19">
      <alignment horizontal="general" vertical="center"/>
    </xf>
    <xf numFmtId="10" fontId="6" fillId="3" borderId="0" applyAlignment="1" pivotButton="0" quotePrefix="0" xfId="19">
      <alignment horizontal="general" vertical="center"/>
    </xf>
    <xf numFmtId="167" fontId="11" fillId="0" borderId="27" applyAlignment="1" pivotButton="0" quotePrefix="0" xfId="16">
      <alignment horizontal="general" vertical="center"/>
    </xf>
    <xf numFmtId="167" fontId="11" fillId="0" borderId="40" applyAlignment="1" pivotButton="0" quotePrefix="0" xfId="16">
      <alignment horizontal="general" vertical="center"/>
    </xf>
    <xf numFmtId="167" fontId="11" fillId="5" borderId="33" applyAlignment="1" pivotButton="0" quotePrefix="0" xfId="16">
      <alignment horizontal="general" vertical="center"/>
    </xf>
    <xf numFmtId="167" fontId="11" fillId="0" borderId="28" applyAlignment="1" pivotButton="0" quotePrefix="0" xfId="16">
      <alignment horizontal="general" vertical="center"/>
    </xf>
    <xf numFmtId="167" fontId="11" fillId="0" borderId="41" applyAlignment="1" pivotButton="0" quotePrefix="0" xfId="16">
      <alignment horizontal="general" vertical="center"/>
    </xf>
    <xf numFmtId="167" fontId="11" fillId="0" borderId="35" applyAlignment="1" pivotButton="0" quotePrefix="0" xfId="16">
      <alignment horizontal="general" vertical="center"/>
    </xf>
    <xf numFmtId="165" fontId="11" fillId="6" borderId="42" applyAlignment="1" pivotButton="0" quotePrefix="0" xfId="16">
      <alignment horizontal="general" vertical="center"/>
    </xf>
    <xf numFmtId="165" fontId="11" fillId="0" borderId="43" applyAlignment="1" pivotButton="0" quotePrefix="0" xfId="0">
      <alignment horizontal="center" vertical="center"/>
    </xf>
    <xf numFmtId="167" fontId="8" fillId="3" borderId="28" applyAlignment="1" pivotButton="0" quotePrefix="0" xfId="16">
      <alignment horizontal="center" vertical="center"/>
    </xf>
    <xf numFmtId="165" fontId="11" fillId="0" borderId="43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general" vertical="center"/>
    </xf>
    <xf numFmtId="170" fontId="6" fillId="3" borderId="0" applyAlignment="1" pivotButton="0" quotePrefix="0" xfId="0">
      <alignment horizontal="general" vertical="center"/>
    </xf>
    <xf numFmtId="171" fontId="11" fillId="0" borderId="27" applyAlignment="1" pivotButton="0" quotePrefix="0" xfId="0">
      <alignment horizontal="general" vertical="center"/>
    </xf>
    <xf numFmtId="171" fontId="11" fillId="0" borderId="40" applyAlignment="1" pivotButton="0" quotePrefix="0" xfId="0">
      <alignment horizontal="general" vertical="center"/>
    </xf>
    <xf numFmtId="171" fontId="11" fillId="0" borderId="33" applyAlignment="1" pivotButton="0" quotePrefix="0" xfId="0">
      <alignment horizontal="general" vertical="center"/>
    </xf>
    <xf numFmtId="171" fontId="11" fillId="5" borderId="34" applyAlignment="1" pivotButton="0" quotePrefix="0" xfId="16">
      <alignment horizontal="general" vertical="center"/>
    </xf>
    <xf numFmtId="171" fontId="11" fillId="5" borderId="35" applyAlignment="1" pivotButton="0" quotePrefix="0" xfId="16">
      <alignment horizontal="general" vertical="center"/>
    </xf>
    <xf numFmtId="167" fontId="11" fillId="5" borderId="44" applyAlignment="1" pivotButton="0" quotePrefix="0" xfId="16">
      <alignment horizontal="general" vertical="center"/>
    </xf>
    <xf numFmtId="167" fontId="11" fillId="0" borderId="45" applyAlignment="1" pivotButton="0" quotePrefix="0" xfId="16">
      <alignment horizontal="general" vertical="center"/>
    </xf>
    <xf numFmtId="167" fontId="11" fillId="0" borderId="46" applyAlignment="1" pivotButton="0" quotePrefix="0" xfId="16">
      <alignment horizontal="general" vertical="center"/>
    </xf>
    <xf numFmtId="165" fontId="11" fillId="6" borderId="47" applyAlignment="1" pivotButton="0" quotePrefix="0" xfId="16">
      <alignment horizontal="general" vertical="center"/>
    </xf>
    <xf numFmtId="165" fontId="11" fillId="0" borderId="29" applyAlignment="1" pivotButton="0" quotePrefix="0" xfId="0">
      <alignment horizontal="left" vertical="center"/>
    </xf>
    <xf numFmtId="165" fontId="11" fillId="0" borderId="29" applyAlignment="1" pivotButton="0" quotePrefix="0" xfId="0">
      <alignment horizontal="center" vertical="center"/>
    </xf>
    <xf numFmtId="172" fontId="6" fillId="0" borderId="0" applyAlignment="1" pivotButton="0" quotePrefix="0" xfId="0">
      <alignment horizontal="general" vertical="center"/>
    </xf>
    <xf numFmtId="165" fontId="12" fillId="7" borderId="0" applyAlignment="1" pivotButton="0" quotePrefix="0" xfId="0">
      <alignment horizontal="general" vertical="center"/>
    </xf>
    <xf numFmtId="165" fontId="8" fillId="4" borderId="40" applyAlignment="1" pivotButton="0" quotePrefix="0" xfId="0">
      <alignment horizontal="center" vertical="center"/>
    </xf>
    <xf numFmtId="164" fontId="11" fillId="4" borderId="44" applyAlignment="1" pivotButton="0" quotePrefix="0" xfId="0">
      <alignment horizontal="left" vertical="center" wrapText="1"/>
    </xf>
    <xf numFmtId="10" fontId="6" fillId="0" borderId="0" applyAlignment="1" pivotButton="0" quotePrefix="0" xfId="0">
      <alignment horizontal="general" vertical="center"/>
    </xf>
    <xf numFmtId="10" fontId="6" fillId="0" borderId="0" applyAlignment="1" pivotButton="0" quotePrefix="0" xfId="0">
      <alignment horizontal="center" vertical="center"/>
    </xf>
    <xf numFmtId="165" fontId="11" fillId="5" borderId="48" applyAlignment="1" pivotButton="0" quotePrefix="0" xfId="0">
      <alignment horizontal="center" vertical="center"/>
    </xf>
    <xf numFmtId="165" fontId="8" fillId="4" borderId="21" applyAlignment="1" pivotButton="0" quotePrefix="0" xfId="0">
      <alignment horizontal="center" vertical="center"/>
    </xf>
    <xf numFmtId="164" fontId="11" fillId="7" borderId="49" applyAlignment="1" pivotButton="0" quotePrefix="0" xfId="0">
      <alignment horizontal="general" vertical="center"/>
    </xf>
    <xf numFmtId="164" fontId="11" fillId="7" borderId="50" applyAlignment="1" pivotButton="0" quotePrefix="0" xfId="0">
      <alignment horizontal="general" vertical="center"/>
    </xf>
    <xf numFmtId="171" fontId="11" fillId="0" borderId="27" applyAlignment="1" pivotButton="0" quotePrefix="0" xfId="0">
      <alignment horizontal="general" vertical="center"/>
    </xf>
    <xf numFmtId="171" fontId="11" fillId="0" borderId="40" applyAlignment="1" pivotButton="0" quotePrefix="0" xfId="0">
      <alignment horizontal="general" vertical="center"/>
    </xf>
    <xf numFmtId="171" fontId="11" fillId="0" borderId="33" applyAlignment="1" pivotButton="0" quotePrefix="0" xfId="0">
      <alignment horizontal="general" vertical="center"/>
    </xf>
    <xf numFmtId="164" fontId="8" fillId="7" borderId="18" applyAlignment="1" pivotButton="0" quotePrefix="0" xfId="0">
      <alignment horizontal="left" vertical="center"/>
    </xf>
    <xf numFmtId="165" fontId="12" fillId="0" borderId="0" applyAlignment="1" pivotButton="0" quotePrefix="0" xfId="0">
      <alignment horizontal="general" vertical="center"/>
    </xf>
    <xf numFmtId="165" fontId="12" fillId="0" borderId="0" applyAlignment="1" pivotButton="0" quotePrefix="0" xfId="0">
      <alignment horizontal="center" vertical="center"/>
    </xf>
    <xf numFmtId="164" fontId="8" fillId="7" borderId="44" applyAlignment="1" pivotButton="0" quotePrefix="0" xfId="0">
      <alignment horizontal="left" vertical="center"/>
    </xf>
    <xf numFmtId="164" fontId="11" fillId="7" borderId="29" applyAlignment="1" pivotButton="0" quotePrefix="0" xfId="0">
      <alignment horizontal="general" vertical="center"/>
    </xf>
    <xf numFmtId="171" fontId="6" fillId="0" borderId="0" applyAlignment="1" pivotButton="0" quotePrefix="0" xfId="16">
      <alignment horizontal="general" vertical="center"/>
    </xf>
    <xf numFmtId="171" fontId="6" fillId="0" borderId="0" applyAlignment="1" pivotButton="0" quotePrefix="0" xfId="16">
      <alignment horizontal="center" vertical="center"/>
    </xf>
    <xf numFmtId="166" fontId="11" fillId="7" borderId="29" applyAlignment="1" pivotButton="0" quotePrefix="0" xfId="0">
      <alignment horizontal="general" vertical="center"/>
    </xf>
    <xf numFmtId="168" fontId="11" fillId="7" borderId="29" applyAlignment="1" pivotButton="0" quotePrefix="0" xfId="0">
      <alignment horizontal="general" vertical="center"/>
    </xf>
    <xf numFmtId="165" fontId="11" fillId="7" borderId="29" applyAlignment="1" pivotButton="0" quotePrefix="0" xfId="0">
      <alignment horizontal="general" vertical="center"/>
    </xf>
    <xf numFmtId="165" fontId="8" fillId="2" borderId="24" applyAlignment="1" pivotButton="0" quotePrefix="0" xfId="0">
      <alignment horizontal="center" vertical="center"/>
    </xf>
    <xf numFmtId="165" fontId="8" fillId="2" borderId="28" applyAlignment="1" pivotButton="0" quotePrefix="0" xfId="0">
      <alignment horizontal="center" vertical="center"/>
    </xf>
    <xf numFmtId="166" fontId="11" fillId="2" borderId="29" applyAlignment="1" pivotButton="0" quotePrefix="0" xfId="0">
      <alignment horizontal="general" vertical="center"/>
    </xf>
    <xf numFmtId="168" fontId="11" fillId="2" borderId="29" applyAlignment="1" pivotButton="0" quotePrefix="0" xfId="0">
      <alignment horizontal="general" vertical="center"/>
    </xf>
    <xf numFmtId="165" fontId="11" fillId="2" borderId="29" applyAlignment="1" pivotButton="0" quotePrefix="0" xfId="0">
      <alignment horizontal="general" vertical="center"/>
    </xf>
    <xf numFmtId="171" fontId="11" fillId="0" borderId="40" applyAlignment="1" pivotButton="0" quotePrefix="0" xfId="16">
      <alignment horizontal="general" vertical="center"/>
    </xf>
    <xf numFmtId="171" fontId="11" fillId="0" borderId="33" applyAlignment="1" pivotButton="0" quotePrefix="0" xfId="16">
      <alignment horizontal="general" vertical="center"/>
    </xf>
    <xf numFmtId="165" fontId="8" fillId="2" borderId="45" applyAlignment="1" pivotButton="0" quotePrefix="0" xfId="0">
      <alignment horizontal="center" vertical="center"/>
    </xf>
    <xf numFmtId="166" fontId="11" fillId="2" borderId="51" applyAlignment="1" pivotButton="0" quotePrefix="0" xfId="0">
      <alignment horizontal="general" vertical="center"/>
    </xf>
    <xf numFmtId="165" fontId="11" fillId="2" borderId="51" applyAlignment="1" pivotButton="0" quotePrefix="0" xfId="0">
      <alignment horizontal="general" vertical="center"/>
    </xf>
    <xf numFmtId="165" fontId="5" fillId="0" borderId="0" applyAlignment="1" pivotButton="0" quotePrefix="0" xfId="0">
      <alignment horizontal="center" vertical="center"/>
    </xf>
    <xf numFmtId="172" fontId="6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165" fontId="8" fillId="3" borderId="40" applyAlignment="1" pivotButton="0" quotePrefix="0" xfId="0">
      <alignment horizontal="center" vertical="center"/>
    </xf>
    <xf numFmtId="10" fontId="11" fillId="3" borderId="44" applyAlignment="1" pivotButton="0" quotePrefix="0" xfId="0">
      <alignment horizontal="general" vertical="center"/>
    </xf>
    <xf numFmtId="165" fontId="8" fillId="3" borderId="29" applyAlignment="1" pivotButton="0" quotePrefix="0" xfId="0">
      <alignment horizontal="center" vertical="center"/>
    </xf>
    <xf numFmtId="10" fontId="11" fillId="7" borderId="29" applyAlignment="1" pivotButton="0" quotePrefix="0" xfId="0">
      <alignment horizontal="center" vertical="center"/>
    </xf>
    <xf numFmtId="165" fontId="11" fillId="3" borderId="29" applyAlignment="1" pivotButton="0" quotePrefix="0" xfId="0">
      <alignment horizontal="left" vertical="center" indent="2"/>
    </xf>
    <xf numFmtId="165" fontId="11" fillId="0" borderId="27" applyAlignment="1" pivotButton="0" quotePrefix="0" xfId="0">
      <alignment horizontal="general" vertical="center"/>
    </xf>
    <xf numFmtId="165" fontId="11" fillId="0" borderId="45" applyAlignment="1" pivotButton="0" quotePrefix="0" xfId="0">
      <alignment horizontal="general" vertical="center"/>
    </xf>
    <xf numFmtId="165" fontId="11" fillId="0" borderId="27" applyAlignment="1" pivotButton="0" quotePrefix="0" xfId="0">
      <alignment horizontal="general" vertical="center"/>
    </xf>
    <xf numFmtId="165" fontId="11" fillId="0" borderId="28" applyAlignment="1" pivotButton="0" quotePrefix="0" xfId="0">
      <alignment horizontal="general" vertical="center"/>
    </xf>
    <xf numFmtId="165" fontId="11" fillId="0" borderId="41" applyAlignment="1" pivotButton="0" quotePrefix="0" xfId="0">
      <alignment horizontal="general" vertical="center"/>
    </xf>
    <xf numFmtId="165" fontId="11" fillId="6" borderId="47" applyAlignment="1" pivotButton="0" quotePrefix="0" xfId="0">
      <alignment horizontal="general" vertical="center"/>
    </xf>
    <xf numFmtId="165" fontId="8" fillId="3" borderId="52" applyAlignment="1" pivotButton="0" quotePrefix="0" xfId="0">
      <alignment horizontal="center" vertical="center"/>
    </xf>
    <xf numFmtId="10" fontId="13" fillId="3" borderId="53" applyAlignment="1" pivotButton="0" quotePrefix="0" xfId="0">
      <alignment horizontal="general" vertical="center"/>
    </xf>
    <xf numFmtId="165" fontId="8" fillId="3" borderId="54" applyAlignment="1" pivotButton="0" quotePrefix="0" xfId="0">
      <alignment horizontal="center" vertical="center"/>
    </xf>
    <xf numFmtId="10" fontId="11" fillId="7" borderId="54" applyAlignment="1" pivotButton="0" quotePrefix="0" xfId="0">
      <alignment horizontal="center" vertical="center"/>
    </xf>
    <xf numFmtId="165" fontId="11" fillId="3" borderId="54" applyAlignment="1" pivotButton="0" quotePrefix="0" xfId="0">
      <alignment horizontal="general" vertical="center"/>
    </xf>
    <xf numFmtId="171" fontId="11" fillId="5" borderId="28" applyAlignment="1" pivotButton="0" quotePrefix="0" xfId="16">
      <alignment horizontal="general" vertical="center"/>
    </xf>
    <xf numFmtId="171" fontId="11" fillId="5" borderId="41" applyAlignment="1" pivotButton="0" quotePrefix="0" xfId="16">
      <alignment horizontal="general" vertical="center"/>
    </xf>
    <xf numFmtId="171" fontId="11" fillId="0" borderId="28" applyAlignment="1" pivotButton="0" quotePrefix="0" xfId="16">
      <alignment horizontal="general" vertical="center"/>
    </xf>
    <xf numFmtId="171" fontId="11" fillId="5" borderId="44" applyAlignment="1" pivotButton="0" quotePrefix="0" xfId="16">
      <alignment horizontal="general" vertical="center"/>
    </xf>
    <xf numFmtId="165" fontId="11" fillId="0" borderId="55" applyAlignment="1" pivotButton="0" quotePrefix="0" xfId="0">
      <alignment horizontal="center" vertical="center"/>
    </xf>
    <xf numFmtId="165" fontId="8" fillId="4" borderId="56" applyAlignment="1" pivotButton="0" quotePrefix="0" xfId="0">
      <alignment horizontal="center" vertical="center"/>
    </xf>
    <xf numFmtId="165" fontId="8" fillId="7" borderId="37" applyAlignment="1" pivotButton="0" quotePrefix="0" xfId="0">
      <alignment horizontal="center" vertical="center"/>
    </xf>
    <xf numFmtId="173" fontId="11" fillId="4" borderId="44" applyAlignment="1" pivotButton="0" quotePrefix="0" xfId="0">
      <alignment horizontal="general" vertical="center"/>
    </xf>
    <xf numFmtId="174" fontId="11" fillId="4" borderId="29" applyAlignment="1" pivotButton="0" quotePrefix="0" xfId="0">
      <alignment horizontal="left" vertical="center"/>
    </xf>
    <xf numFmtId="175" fontId="11" fillId="4" borderId="19" applyAlignment="1" pivotButton="0" quotePrefix="0" xfId="0">
      <alignment horizontal="right" vertical="center"/>
    </xf>
    <xf numFmtId="172" fontId="6" fillId="0" borderId="0" applyAlignment="1" pivotButton="0" quotePrefix="0" xfId="0">
      <alignment horizontal="general" vertical="center"/>
    </xf>
    <xf numFmtId="165" fontId="11" fillId="4" borderId="0" applyAlignment="1" pivotButton="0" quotePrefix="0" xfId="0">
      <alignment horizontal="center" vertical="center"/>
    </xf>
    <xf numFmtId="165" fontId="8" fillId="7" borderId="28" applyAlignment="1" pivotButton="0" quotePrefix="0" xfId="0">
      <alignment horizontal="center" vertical="center"/>
    </xf>
    <xf numFmtId="166" fontId="11" fillId="4" borderId="44" applyAlignment="1" pivotButton="0" quotePrefix="0" xfId="0">
      <alignment horizontal="right" vertical="center"/>
    </xf>
    <xf numFmtId="0" fontId="11" fillId="4" borderId="29" applyAlignment="1" pivotButton="0" quotePrefix="0" xfId="0">
      <alignment horizontal="left" vertical="center"/>
    </xf>
    <xf numFmtId="176" fontId="11" fillId="4" borderId="29" applyAlignment="1" pivotButton="0" quotePrefix="0" xfId="0">
      <alignment horizontal="right" vertical="center"/>
    </xf>
    <xf numFmtId="10" fontId="11" fillId="0" borderId="0" applyAlignment="1" pivotButton="0" quotePrefix="0" xfId="0">
      <alignment horizontal="general" vertical="center"/>
    </xf>
    <xf numFmtId="171" fontId="11" fillId="0" borderId="46" applyAlignment="1" pivotButton="0" quotePrefix="0" xfId="16">
      <alignment horizontal="general" vertical="center"/>
    </xf>
    <xf numFmtId="165" fontId="11" fillId="7" borderId="28" applyAlignment="1" pivotButton="0" quotePrefix="0" xfId="0">
      <alignment horizontal="general" vertical="center"/>
    </xf>
    <xf numFmtId="171" fontId="11" fillId="0" borderId="20" applyAlignment="1" pivotButton="0" quotePrefix="0" xfId="0">
      <alignment horizontal="general" vertical="center"/>
    </xf>
    <xf numFmtId="165" fontId="8" fillId="6" borderId="57" applyAlignment="1" pivotButton="0" quotePrefix="0" xfId="0">
      <alignment horizontal="center" vertical="center"/>
    </xf>
    <xf numFmtId="166" fontId="11" fillId="4" borderId="44" applyAlignment="1" pivotButton="0" quotePrefix="0" xfId="0">
      <alignment horizontal="general" vertical="center"/>
    </xf>
    <xf numFmtId="165" fontId="8" fillId="5" borderId="58" applyAlignment="1" pivotButton="0" quotePrefix="0" xfId="0">
      <alignment horizontal="center" vertical="center"/>
    </xf>
    <xf numFmtId="165" fontId="11" fillId="6" borderId="59" applyAlignment="1" pivotButton="0" quotePrefix="0" xfId="0">
      <alignment horizontal="general" vertical="center"/>
    </xf>
    <xf numFmtId="165" fontId="11" fillId="6" borderId="57" applyAlignment="1" pivotButton="0" quotePrefix="0" xfId="0">
      <alignment horizontal="general" vertical="center"/>
    </xf>
    <xf numFmtId="171" fontId="11" fillId="6" borderId="60" applyAlignment="1" pivotButton="0" quotePrefix="0" xfId="16">
      <alignment horizontal="general" vertical="center"/>
    </xf>
    <xf numFmtId="171" fontId="11" fillId="6" borderId="57" applyAlignment="1" pivotButton="0" quotePrefix="0" xfId="16">
      <alignment horizontal="general" vertical="center"/>
    </xf>
    <xf numFmtId="165" fontId="11" fillId="6" borderId="60" applyAlignment="1" pivotButton="0" quotePrefix="0" xfId="0">
      <alignment horizontal="general" vertical="center"/>
    </xf>
    <xf numFmtId="165" fontId="11" fillId="6" borderId="61" applyAlignment="1" pivotButton="0" quotePrefix="0" xfId="0">
      <alignment horizontal="general" vertical="center"/>
    </xf>
    <xf numFmtId="165" fontId="11" fillId="6" borderId="62" applyAlignment="1" pivotButton="0" quotePrefix="0" xfId="0">
      <alignment horizontal="general" vertical="center"/>
    </xf>
    <xf numFmtId="165" fontId="11" fillId="6" borderId="0" applyAlignment="1" pivotButton="0" quotePrefix="0" xfId="0">
      <alignment horizontal="center" vertical="center"/>
    </xf>
    <xf numFmtId="172" fontId="14" fillId="0" borderId="0" applyAlignment="1" pivotButton="0" quotePrefix="0" xfId="0">
      <alignment horizontal="general" vertical="center"/>
    </xf>
    <xf numFmtId="165" fontId="6" fillId="0" borderId="0" applyAlignment="1" pivotButton="0" quotePrefix="0" xfId="0">
      <alignment horizontal="general" vertical="center"/>
    </xf>
    <xf numFmtId="165" fontId="15" fillId="0" borderId="0" applyAlignment="1" pivotButton="0" quotePrefix="0" xfId="0">
      <alignment horizontal="general" vertical="center"/>
    </xf>
    <xf numFmtId="175" fontId="9" fillId="4" borderId="44" applyAlignment="1" pivotButton="0" quotePrefix="0" xfId="0">
      <alignment horizontal="general" vertical="center"/>
    </xf>
    <xf numFmtId="177" fontId="9" fillId="4" borderId="29" applyAlignment="1" pivotButton="0" quotePrefix="0" xfId="0">
      <alignment horizontal="general" vertical="center" shrinkToFit="1"/>
    </xf>
    <xf numFmtId="176" fontId="11" fillId="4" borderId="29" applyAlignment="1" pivotButton="0" quotePrefix="0" xfId="0">
      <alignment horizontal="general" vertical="center" shrinkToFit="1"/>
    </xf>
    <xf numFmtId="178" fontId="11" fillId="5" borderId="63" applyAlignment="1" pivotButton="0" quotePrefix="0" xfId="0">
      <alignment horizontal="center" vertical="center"/>
    </xf>
    <xf numFmtId="165" fontId="11" fillId="0" borderId="36" applyAlignment="1" pivotButton="0" quotePrefix="0" xfId="0">
      <alignment horizontal="general" vertical="center"/>
    </xf>
    <xf numFmtId="165" fontId="11" fillId="0" borderId="56" applyAlignment="1" pivotButton="0" quotePrefix="0" xfId="0">
      <alignment horizontal="general" vertical="center"/>
    </xf>
    <xf numFmtId="165" fontId="11" fillId="0" borderId="64" applyAlignment="1" pivotButton="0" quotePrefix="0" xfId="0">
      <alignment horizontal="general" vertical="center"/>
    </xf>
    <xf numFmtId="165" fontId="11" fillId="5" borderId="35" applyAlignment="1" pivotButton="0" quotePrefix="0" xfId="0">
      <alignment horizontal="general" vertical="center"/>
    </xf>
    <xf numFmtId="167" fontId="11" fillId="5" borderId="17" applyAlignment="1" pivotButton="0" quotePrefix="0" xfId="16">
      <alignment horizontal="general" vertical="center"/>
    </xf>
    <xf numFmtId="167" fontId="11" fillId="5" borderId="37" applyAlignment="1" pivotButton="0" quotePrefix="0" xfId="16">
      <alignment horizontal="general" vertical="center"/>
    </xf>
    <xf numFmtId="167" fontId="11" fillId="5" borderId="38" applyAlignment="1" pivotButton="0" quotePrefix="0" xfId="16">
      <alignment horizontal="general" vertical="center"/>
    </xf>
    <xf numFmtId="165" fontId="11" fillId="0" borderId="65" applyAlignment="1" pivotButton="0" quotePrefix="0" xfId="0">
      <alignment horizontal="general" vertical="center"/>
    </xf>
    <xf numFmtId="165" fontId="11" fillId="0" borderId="66" applyAlignment="1" pivotButton="0" quotePrefix="0" xfId="0">
      <alignment horizontal="general" vertical="center"/>
    </xf>
    <xf numFmtId="165" fontId="11" fillId="0" borderId="36" applyAlignment="1" pivotButton="0" quotePrefix="0" xfId="0">
      <alignment horizontal="general" vertical="center"/>
    </xf>
    <xf numFmtId="165" fontId="11" fillId="0" borderId="64" applyAlignment="1" pivotButton="0" quotePrefix="0" xfId="0">
      <alignment horizontal="general" vertical="center"/>
    </xf>
    <xf numFmtId="171" fontId="11" fillId="0" borderId="66" applyAlignment="1" pivotButton="0" quotePrefix="0" xfId="16">
      <alignment horizontal="general" vertical="center"/>
    </xf>
    <xf numFmtId="165" fontId="16" fillId="0" borderId="19" applyAlignment="1" pivotButton="0" quotePrefix="0" xfId="0">
      <alignment horizontal="center" vertical="center"/>
    </xf>
    <xf numFmtId="165" fontId="4" fillId="0" borderId="0" applyAlignment="1" pivotButton="0" quotePrefix="0" xfId="0">
      <alignment horizontal="general" vertical="center"/>
    </xf>
    <xf numFmtId="165" fontId="8" fillId="3" borderId="28" applyAlignment="1" pivotButton="0" quotePrefix="0" xfId="0">
      <alignment horizontal="center" vertical="center"/>
    </xf>
    <xf numFmtId="165" fontId="8" fillId="3" borderId="44" applyAlignment="1" pivotButton="0" quotePrefix="0" xfId="0">
      <alignment horizontal="center" vertical="center"/>
    </xf>
    <xf numFmtId="179" fontId="9" fillId="3" borderId="29" applyAlignment="1" pivotButton="0" quotePrefix="0" xfId="0">
      <alignment horizontal="right" vertical="center"/>
    </xf>
    <xf numFmtId="165" fontId="11" fillId="0" borderId="40" applyAlignment="1" pivotButton="0" quotePrefix="0" xfId="0">
      <alignment horizontal="general" vertical="center"/>
    </xf>
    <xf numFmtId="165" fontId="11" fillId="0" borderId="28" applyAlignment="1" pivotButton="0" quotePrefix="0" xfId="0">
      <alignment horizontal="general" vertical="center"/>
    </xf>
    <xf numFmtId="165" fontId="11" fillId="5" borderId="42" applyAlignment="1" pivotButton="0" quotePrefix="0" xfId="0">
      <alignment horizontal="general" vertical="center"/>
    </xf>
    <xf numFmtId="167" fontId="11" fillId="5" borderId="40" applyAlignment="1" pivotButton="0" quotePrefix="0" xfId="16">
      <alignment horizontal="general" vertical="center"/>
    </xf>
    <xf numFmtId="167" fontId="11" fillId="5" borderId="28" applyAlignment="1" pivotButton="0" quotePrefix="0" xfId="16">
      <alignment horizontal="general" vertical="center"/>
    </xf>
    <xf numFmtId="165" fontId="11" fillId="0" borderId="67" applyAlignment="1" pivotButton="0" quotePrefix="0" xfId="0">
      <alignment horizontal="general" vertical="center"/>
    </xf>
    <xf numFmtId="165" fontId="11" fillId="0" borderId="46" applyAlignment="1" pivotButton="0" quotePrefix="0" xfId="0">
      <alignment horizontal="general" vertical="center"/>
    </xf>
    <xf numFmtId="165" fontId="11" fillId="0" borderId="45" applyAlignment="1" pivotButton="0" quotePrefix="0" xfId="0">
      <alignment horizontal="general" vertical="center"/>
    </xf>
    <xf numFmtId="165" fontId="14" fillId="0" borderId="0" applyAlignment="1" pivotButton="0" quotePrefix="0" xfId="0">
      <alignment horizontal="center" vertical="center"/>
    </xf>
    <xf numFmtId="165" fontId="11" fillId="5" borderId="26" applyAlignment="1" pivotButton="0" quotePrefix="0" xfId="0">
      <alignment horizontal="general" vertical="center"/>
    </xf>
    <xf numFmtId="165" fontId="11" fillId="3" borderId="0" applyAlignment="1" pivotButton="0" quotePrefix="0" xfId="0">
      <alignment horizontal="general" vertical="center"/>
    </xf>
    <xf numFmtId="165" fontId="8" fillId="2" borderId="53" applyAlignment="1" pivotButton="0" quotePrefix="0" xfId="0">
      <alignment horizontal="center" vertical="center"/>
    </xf>
    <xf numFmtId="173" fontId="9" fillId="2" borderId="0" applyAlignment="1" pivotButton="0" quotePrefix="0" xfId="0">
      <alignment horizontal="general" vertical="center"/>
    </xf>
    <xf numFmtId="167" fontId="11" fillId="5" borderId="42" applyAlignment="1" pivotButton="0" quotePrefix="0" xfId="16">
      <alignment horizontal="general" vertical="center"/>
    </xf>
    <xf numFmtId="167" fontId="11" fillId="0" borderId="67" applyAlignment="1" pivotButton="0" quotePrefix="0" xfId="16">
      <alignment horizontal="general" vertical="center"/>
    </xf>
    <xf numFmtId="167" fontId="11" fillId="6" borderId="47" applyAlignment="1" pivotButton="0" quotePrefix="0" xfId="16">
      <alignment horizontal="general" vertical="center"/>
    </xf>
    <xf numFmtId="165" fontId="11" fillId="5" borderId="48" applyAlignment="1" pivotButton="0" quotePrefix="0" xfId="0">
      <alignment horizontal="general" vertical="center"/>
    </xf>
    <xf numFmtId="165" fontId="11" fillId="3" borderId="50" applyAlignment="1" pivotButton="0" quotePrefix="0" xfId="0">
      <alignment horizontal="general" vertical="center"/>
    </xf>
    <xf numFmtId="165" fontId="11" fillId="2" borderId="68" applyAlignment="1" pivotButton="0" quotePrefix="0" xfId="0">
      <alignment horizontal="center" vertical="center"/>
    </xf>
    <xf numFmtId="165" fontId="11" fillId="2" borderId="50" applyAlignment="1" pivotButton="0" quotePrefix="0" xfId="0">
      <alignment horizontal="general" vertical="center"/>
    </xf>
    <xf numFmtId="173" fontId="9" fillId="2" borderId="50" applyAlignment="1" pivotButton="0" quotePrefix="0" xfId="0">
      <alignment horizontal="general" vertical="center"/>
    </xf>
    <xf numFmtId="167" fontId="11" fillId="0" borderId="52" applyAlignment="1" pivotButton="0" quotePrefix="0" xfId="16">
      <alignment horizontal="general" vertical="center"/>
    </xf>
    <xf numFmtId="167" fontId="11" fillId="0" borderId="53" applyAlignment="1" pivotButton="0" quotePrefix="0" xfId="16">
      <alignment horizontal="general" vertical="center"/>
    </xf>
    <xf numFmtId="167" fontId="11" fillId="5" borderId="46" applyAlignment="1" pivotButton="0" quotePrefix="0" xfId="16">
      <alignment horizontal="general" vertical="center"/>
    </xf>
    <xf numFmtId="167" fontId="11" fillId="5" borderId="69" applyAlignment="1" pivotButton="0" quotePrefix="0" xfId="16">
      <alignment horizontal="general" vertical="center"/>
    </xf>
    <xf numFmtId="167" fontId="11" fillId="5" borderId="52" applyAlignment="1" pivotButton="0" quotePrefix="0" xfId="16">
      <alignment horizontal="general" vertical="center"/>
    </xf>
    <xf numFmtId="167" fontId="11" fillId="5" borderId="45" applyAlignment="1" pivotButton="0" quotePrefix="0" xfId="16">
      <alignment horizontal="general" vertical="center"/>
    </xf>
    <xf numFmtId="167" fontId="11" fillId="6" borderId="70" applyAlignment="1" pivotButton="0" quotePrefix="0" xfId="16">
      <alignment horizontal="general" vertical="center"/>
    </xf>
    <xf numFmtId="180" fontId="11" fillId="4" borderId="19" applyAlignment="1" pivotButton="0" quotePrefix="0" xfId="0">
      <alignment horizontal="general" vertical="center"/>
    </xf>
    <xf numFmtId="10" fontId="11" fillId="7" borderId="19" applyAlignment="1" pivotButton="0" quotePrefix="0" xfId="0">
      <alignment horizontal="left" vertical="center"/>
    </xf>
    <xf numFmtId="166" fontId="11" fillId="4" borderId="19" applyAlignment="1" pivotButton="0" quotePrefix="0" xfId="0">
      <alignment horizontal="general" vertical="center"/>
    </xf>
    <xf numFmtId="167" fontId="11" fillId="0" borderId="44" applyAlignment="1" pivotButton="0" quotePrefix="0" xfId="16">
      <alignment horizontal="general" vertical="center"/>
    </xf>
    <xf numFmtId="167" fontId="11" fillId="5" borderId="41" applyAlignment="1" pivotButton="0" quotePrefix="0" xfId="16">
      <alignment horizontal="general" vertical="center"/>
    </xf>
    <xf numFmtId="167" fontId="11" fillId="5" borderId="47" applyAlignment="1" pivotButton="0" quotePrefix="0" xfId="16">
      <alignment horizontal="general" vertical="center"/>
    </xf>
    <xf numFmtId="165" fontId="18" fillId="0" borderId="0" applyAlignment="1" pivotButton="0" quotePrefix="0" xfId="0">
      <alignment horizontal="general" vertical="center"/>
    </xf>
    <xf numFmtId="165" fontId="11" fillId="4" borderId="32" applyAlignment="1" pivotButton="0" quotePrefix="0" xfId="0">
      <alignment horizontal="center" vertical="center"/>
    </xf>
    <xf numFmtId="180" fontId="11" fillId="4" borderId="43" applyAlignment="1" pivotButton="0" quotePrefix="0" xfId="0">
      <alignment horizontal="general" vertical="center"/>
    </xf>
    <xf numFmtId="10" fontId="11" fillId="4" borderId="29" applyAlignment="1" pivotButton="0" quotePrefix="0" xfId="0">
      <alignment horizontal="left" vertical="center"/>
    </xf>
    <xf numFmtId="166" fontId="11" fillId="4" borderId="29" applyAlignment="1" pivotButton="0" quotePrefix="0" xfId="0">
      <alignment horizontal="general" vertical="center"/>
    </xf>
    <xf numFmtId="165" fontId="11" fillId="4" borderId="29" applyAlignment="1" pivotButton="0" quotePrefix="0" xfId="0">
      <alignment horizontal="general" vertical="center"/>
    </xf>
    <xf numFmtId="167" fontId="11" fillId="0" borderId="24" applyAlignment="1" pivotButton="0" quotePrefix="0" xfId="16">
      <alignment horizontal="general" vertical="center"/>
    </xf>
    <xf numFmtId="167" fontId="11" fillId="0" borderId="71" applyAlignment="1" pivotButton="0" quotePrefix="0" xfId="16">
      <alignment horizontal="general" vertical="center"/>
    </xf>
    <xf numFmtId="167" fontId="11" fillId="0" borderId="72" applyAlignment="1" pivotButton="0" quotePrefix="0" xfId="16">
      <alignment horizontal="general" vertical="center"/>
    </xf>
    <xf numFmtId="165" fontId="11" fillId="5" borderId="73" applyAlignment="1" pivotButton="0" quotePrefix="0" xfId="0">
      <alignment horizontal="center" vertical="center"/>
    </xf>
    <xf numFmtId="180" fontId="11" fillId="4" borderId="29" applyAlignment="1" pivotButton="0" quotePrefix="0" xfId="0">
      <alignment horizontal="general" vertical="center"/>
    </xf>
    <xf numFmtId="10" fontId="11" fillId="4" borderId="43" applyAlignment="1" pivotButton="0" quotePrefix="0" xfId="0">
      <alignment horizontal="left" vertical="center"/>
    </xf>
    <xf numFmtId="166" fontId="11" fillId="4" borderId="43" applyAlignment="1" pivotButton="0" quotePrefix="0" xfId="0">
      <alignment horizontal="general" vertical="center"/>
    </xf>
    <xf numFmtId="165" fontId="11" fillId="4" borderId="43" applyAlignment="1" pivotButton="0" quotePrefix="0" xfId="0">
      <alignment horizontal="left" vertical="center"/>
    </xf>
    <xf numFmtId="165" fontId="11" fillId="6" borderId="74" applyAlignment="1" pivotButton="0" quotePrefix="0" xfId="0">
      <alignment horizontal="general" vertical="center"/>
    </xf>
    <xf numFmtId="167" fontId="11" fillId="6" borderId="57" applyAlignment="1" pivotButton="0" quotePrefix="0" xfId="16">
      <alignment horizontal="general" vertical="center"/>
    </xf>
    <xf numFmtId="167" fontId="11" fillId="6" borderId="60" applyAlignment="1" pivotButton="0" quotePrefix="0" xfId="16">
      <alignment horizontal="general" vertical="center"/>
    </xf>
    <xf numFmtId="167" fontId="11" fillId="6" borderId="61" applyAlignment="1" pivotButton="0" quotePrefix="0" xfId="16">
      <alignment horizontal="general" vertical="center"/>
    </xf>
    <xf numFmtId="172" fontId="14" fillId="0" borderId="0" applyAlignment="1" pivotButton="0" quotePrefix="0" xfId="0">
      <alignment horizontal="general" vertical="center"/>
    </xf>
    <xf numFmtId="165" fontId="14" fillId="0" borderId="0" applyAlignment="1" pivotButton="0" quotePrefix="0" xfId="0">
      <alignment horizontal="general" vertical="center"/>
    </xf>
    <xf numFmtId="165" fontId="8" fillId="5" borderId="26" applyAlignment="1" pivotButton="0" quotePrefix="0" xfId="0">
      <alignment horizontal="center" vertical="center"/>
    </xf>
    <xf numFmtId="166" fontId="11" fillId="4" borderId="29" applyAlignment="1" pivotButton="0" quotePrefix="0" xfId="0">
      <alignment horizontal="right" vertical="center"/>
    </xf>
    <xf numFmtId="165" fontId="11" fillId="6" borderId="65" applyAlignment="1" pivotButton="0" quotePrefix="0" xfId="0">
      <alignment horizontal="general" vertical="center"/>
    </xf>
    <xf numFmtId="165" fontId="11" fillId="6" borderId="56" applyAlignment="1" pivotButton="0" quotePrefix="0" xfId="0">
      <alignment horizontal="general" vertical="center"/>
    </xf>
    <xf numFmtId="165" fontId="11" fillId="6" borderId="64" applyAlignment="1" pivotButton="0" quotePrefix="0" xfId="0">
      <alignment horizontal="general" vertical="center"/>
    </xf>
    <xf numFmtId="165" fontId="11" fillId="6" borderId="75" applyAlignment="1" pivotButton="0" quotePrefix="0" xfId="0">
      <alignment horizontal="general" vertical="center"/>
    </xf>
    <xf numFmtId="165" fontId="11" fillId="6" borderId="66" applyAlignment="1" pivotButton="0" quotePrefix="0" xfId="0">
      <alignment horizontal="general" vertical="center"/>
    </xf>
    <xf numFmtId="165" fontId="11" fillId="6" borderId="76" applyAlignment="1" pivotButton="0" quotePrefix="0" xfId="0">
      <alignment horizontal="general" vertical="center"/>
    </xf>
    <xf numFmtId="167" fontId="11" fillId="6" borderId="56" applyAlignment="1" pivotButton="0" quotePrefix="0" xfId="16">
      <alignment horizontal="general" vertical="center"/>
    </xf>
    <xf numFmtId="167" fontId="11" fillId="6" borderId="64" applyAlignment="1" pivotButton="0" quotePrefix="0" xfId="16">
      <alignment horizontal="general" vertical="center"/>
    </xf>
    <xf numFmtId="167" fontId="11" fillId="6" borderId="66" applyAlignment="1" pivotButton="0" quotePrefix="0" xfId="16">
      <alignment horizontal="general" vertical="center"/>
    </xf>
    <xf numFmtId="165" fontId="11" fillId="6" borderId="77" applyAlignment="1" pivotButton="0" quotePrefix="0" xfId="0">
      <alignment horizontal="center" vertical="center"/>
    </xf>
    <xf numFmtId="165" fontId="6" fillId="0" borderId="0" applyAlignment="1" pivotButton="0" quotePrefix="0" xfId="0">
      <alignment horizontal="right" vertical="center"/>
    </xf>
    <xf numFmtId="165" fontId="11" fillId="5" borderId="78" applyAlignment="1" pivotButton="0" quotePrefix="0" xfId="0">
      <alignment horizontal="center" vertical="center"/>
    </xf>
    <xf numFmtId="165" fontId="8" fillId="4" borderId="79" applyAlignment="1" pivotButton="0" quotePrefix="0" xfId="0">
      <alignment horizontal="center" vertical="center"/>
    </xf>
    <xf numFmtId="180" fontId="11" fillId="4" borderId="80" applyAlignment="1" pivotButton="0" quotePrefix="0" xfId="0">
      <alignment horizontal="general" vertical="center"/>
    </xf>
    <xf numFmtId="10" fontId="11" fillId="4" borderId="80" applyAlignment="1" pivotButton="0" quotePrefix="0" xfId="0">
      <alignment horizontal="left" vertical="center"/>
    </xf>
    <xf numFmtId="166" fontId="11" fillId="4" borderId="80" applyAlignment="1" pivotButton="0" quotePrefix="0" xfId="0">
      <alignment horizontal="general" vertical="center"/>
    </xf>
    <xf numFmtId="165" fontId="11" fillId="4" borderId="80" applyAlignment="1" pivotButton="0" quotePrefix="0" xfId="0">
      <alignment horizontal="general" vertical="center"/>
    </xf>
    <xf numFmtId="168" fontId="11" fillId="6" borderId="81" applyAlignment="1" pivotButton="0" quotePrefix="0" xfId="0">
      <alignment horizontal="general" vertical="center"/>
    </xf>
    <xf numFmtId="168" fontId="11" fillId="6" borderId="82" applyAlignment="1" pivotButton="0" quotePrefix="0" xfId="0">
      <alignment horizontal="general" vertical="center"/>
    </xf>
    <xf numFmtId="168" fontId="11" fillId="6" borderId="83" applyAlignment="1" pivotButton="0" quotePrefix="0" xfId="0">
      <alignment horizontal="general" vertical="center"/>
    </xf>
    <xf numFmtId="168" fontId="11" fillId="6" borderId="84" applyAlignment="1" pivotButton="0" quotePrefix="0" xfId="0">
      <alignment horizontal="general" vertical="center"/>
    </xf>
    <xf numFmtId="168" fontId="11" fillId="6" borderId="85" applyAlignment="1" pivotButton="0" quotePrefix="0" xfId="0">
      <alignment horizontal="general" vertical="center"/>
    </xf>
    <xf numFmtId="168" fontId="11" fillId="6" borderId="86" applyAlignment="1" pivotButton="0" quotePrefix="0" xfId="0">
      <alignment horizontal="general" vertical="center"/>
    </xf>
    <xf numFmtId="167" fontId="11" fillId="6" borderId="82" applyAlignment="1" pivotButton="0" quotePrefix="0" xfId="16">
      <alignment horizontal="general" vertical="center"/>
    </xf>
    <xf numFmtId="167" fontId="11" fillId="6" borderId="83" applyAlignment="1" pivotButton="0" quotePrefix="0" xfId="16">
      <alignment horizontal="general" vertical="center"/>
    </xf>
    <xf numFmtId="167" fontId="11" fillId="6" borderId="85" applyAlignment="1" pivotButton="0" quotePrefix="0" xfId="16">
      <alignment horizontal="general" vertical="center"/>
    </xf>
    <xf numFmtId="165" fontId="11" fillId="6" borderId="86" applyAlignment="1" pivotButton="0" quotePrefix="0" xfId="0">
      <alignment horizontal="general" vertical="center"/>
    </xf>
    <xf numFmtId="165" fontId="11" fillId="0" borderId="0" applyAlignment="1" pivotButton="0" quotePrefix="0" xfId="0">
      <alignment horizontal="general" vertical="center"/>
    </xf>
    <xf numFmtId="165" fontId="19" fillId="4" borderId="0" applyAlignment="1" pivotButton="0" quotePrefix="0" xfId="0">
      <alignment horizontal="general" vertical="center"/>
    </xf>
    <xf numFmtId="165" fontId="10" fillId="4" borderId="2" applyAlignment="1" pivotButton="0" quotePrefix="0" xfId="0">
      <alignment horizontal="general" vertical="center"/>
    </xf>
    <xf numFmtId="165" fontId="11" fillId="0" borderId="2" applyAlignment="1" pivotButton="0" quotePrefix="0" xfId="0">
      <alignment horizontal="general" vertical="center"/>
    </xf>
    <xf numFmtId="181" fontId="11" fillId="0" borderId="2" applyAlignment="1" pivotButton="0" quotePrefix="0" xfId="0">
      <alignment horizontal="general" vertical="center"/>
    </xf>
    <xf numFmtId="165" fontId="11" fillId="4" borderId="2" applyAlignment="1" pivotButton="0" quotePrefix="0" xfId="0">
      <alignment horizontal="general" vertical="center"/>
    </xf>
    <xf numFmtId="165" fontId="11" fillId="0" borderId="2" applyAlignment="1" pivotButton="0" quotePrefix="0" xfId="0">
      <alignment horizontal="general" vertical="center"/>
    </xf>
    <xf numFmtId="165" fontId="8" fillId="4" borderId="2" applyAlignment="1" pivotButton="0" quotePrefix="0" xfId="0">
      <alignment horizontal="right" vertical="center"/>
    </xf>
    <xf numFmtId="165" fontId="8" fillId="8" borderId="3" applyAlignment="1" pivotButton="0" quotePrefix="0" xfId="0">
      <alignment horizontal="center" vertical="center"/>
    </xf>
    <xf numFmtId="165" fontId="8" fillId="8" borderId="87" applyAlignment="1" pivotButton="0" quotePrefix="0" xfId="0">
      <alignment horizontal="center" vertical="center"/>
    </xf>
    <xf numFmtId="165" fontId="8" fillId="8" borderId="13" applyAlignment="1" pivotButton="0" quotePrefix="0" xfId="0">
      <alignment horizontal="center" vertical="center"/>
    </xf>
    <xf numFmtId="165" fontId="8" fillId="8" borderId="14" applyAlignment="1" pivotButton="0" quotePrefix="0" xfId="0">
      <alignment horizontal="center" vertical="center"/>
    </xf>
    <xf numFmtId="165" fontId="11" fillId="8" borderId="5" applyAlignment="1" pivotButton="0" quotePrefix="0" xfId="0">
      <alignment horizontal="center" vertical="center"/>
    </xf>
    <xf numFmtId="165" fontId="8" fillId="8" borderId="88" applyAlignment="1" pivotButton="0" quotePrefix="0" xfId="0">
      <alignment horizontal="center" vertical="center"/>
    </xf>
    <xf numFmtId="165" fontId="11" fillId="0" borderId="0" applyAlignment="1" pivotButton="0" quotePrefix="0" xfId="0">
      <alignment horizontal="general" vertical="center"/>
    </xf>
    <xf numFmtId="165" fontId="6" fillId="0" borderId="0" applyAlignment="1" pivotButton="0" quotePrefix="0" xfId="0">
      <alignment horizontal="general" vertical="center"/>
    </xf>
    <xf numFmtId="165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general" vertical="center"/>
    </xf>
    <xf numFmtId="165" fontId="8" fillId="8" borderId="73" applyAlignment="1" pivotButton="0" quotePrefix="0" xfId="0">
      <alignment horizontal="center" vertical="center"/>
    </xf>
    <xf numFmtId="165" fontId="11" fillId="0" borderId="32" applyAlignment="1" pivotButton="0" quotePrefix="0" xfId="0">
      <alignment horizontal="general" vertical="center"/>
    </xf>
    <xf numFmtId="181" fontId="11" fillId="0" borderId="34" applyAlignment="1" pivotButton="0" quotePrefix="0" xfId="0">
      <alignment horizontal="general" vertical="center"/>
    </xf>
    <xf numFmtId="165" fontId="11" fillId="0" borderId="34" applyAlignment="1" pivotButton="0" quotePrefix="0" xfId="0">
      <alignment horizontal="general" vertical="center"/>
    </xf>
    <xf numFmtId="181" fontId="11" fillId="0" borderId="35" applyAlignment="1" pivotButton="0" quotePrefix="0" xfId="0">
      <alignment horizontal="general" vertical="center"/>
    </xf>
    <xf numFmtId="181" fontId="11" fillId="0" borderId="43" applyAlignment="1" pivotButton="0" quotePrefix="0" xfId="0">
      <alignment horizontal="general" vertical="center"/>
    </xf>
    <xf numFmtId="165" fontId="11" fillId="6" borderId="32" applyAlignment="1" pivotButton="0" quotePrefix="0" xfId="0">
      <alignment horizontal="general" vertical="center"/>
    </xf>
    <xf numFmtId="165" fontId="11" fillId="6" borderId="43" applyAlignment="1" pivotButton="0" quotePrefix="0" xfId="0">
      <alignment horizontal="general" vertical="center"/>
    </xf>
    <xf numFmtId="181" fontId="11" fillId="6" borderId="35" applyAlignment="1" pivotButton="0" quotePrefix="0" xfId="0">
      <alignment horizontal="general" vertical="center"/>
    </xf>
    <xf numFmtId="181" fontId="11" fillId="6" borderId="43" applyAlignment="1" pivotButton="0" quotePrefix="0" xfId="0">
      <alignment horizontal="general" vertical="center"/>
    </xf>
    <xf numFmtId="10" fontId="11" fillId="0" borderId="32" applyAlignment="1" pivotButton="0" quotePrefix="0" xfId="0">
      <alignment horizontal="general" vertical="center"/>
    </xf>
    <xf numFmtId="165" fontId="11" fillId="0" borderId="33" applyAlignment="1" pivotButton="0" quotePrefix="0" xfId="0">
      <alignment horizontal="general" vertical="center"/>
    </xf>
    <xf numFmtId="165" fontId="8" fillId="8" borderId="89" applyAlignment="1" pivotButton="0" quotePrefix="0" xfId="0">
      <alignment horizontal="center" vertical="center"/>
    </xf>
    <xf numFmtId="165" fontId="11" fillId="0" borderId="21" applyAlignment="1" pivotButton="0" quotePrefix="0" xfId="0">
      <alignment horizontal="general" vertical="center"/>
    </xf>
    <xf numFmtId="181" fontId="11" fillId="0" borderId="22" applyAlignment="1" pivotButton="0" quotePrefix="0" xfId="0">
      <alignment horizontal="general" vertical="center"/>
    </xf>
    <xf numFmtId="165" fontId="11" fillId="0" borderId="22" applyAlignment="1" pivotButton="0" quotePrefix="0" xfId="0">
      <alignment horizontal="general" vertical="center"/>
    </xf>
    <xf numFmtId="181" fontId="11" fillId="0" borderId="23" applyAlignment="1" pivotButton="0" quotePrefix="0" xfId="0">
      <alignment horizontal="general" vertical="center"/>
    </xf>
    <xf numFmtId="181" fontId="11" fillId="0" borderId="54" applyAlignment="1" pivotButton="0" quotePrefix="0" xfId="0">
      <alignment horizontal="general" vertical="center"/>
    </xf>
    <xf numFmtId="165" fontId="11" fillId="6" borderId="21" applyAlignment="1" pivotButton="0" quotePrefix="0" xfId="0">
      <alignment horizontal="general" vertical="center"/>
    </xf>
    <xf numFmtId="165" fontId="11" fillId="6" borderId="54" applyAlignment="1" pivotButton="0" quotePrefix="0" xfId="0">
      <alignment horizontal="general" vertical="center"/>
    </xf>
    <xf numFmtId="181" fontId="11" fillId="6" borderId="23" applyAlignment="1" pivotButton="0" quotePrefix="0" xfId="0">
      <alignment horizontal="general" vertical="center"/>
    </xf>
    <xf numFmtId="181" fontId="11" fillId="6" borderId="54" applyAlignment="1" pivotButton="0" quotePrefix="0" xfId="0">
      <alignment horizontal="general" vertical="center"/>
    </xf>
    <xf numFmtId="10" fontId="11" fillId="0" borderId="21" applyAlignment="1" pivotButton="0" quotePrefix="0" xfId="0">
      <alignment horizontal="general" vertical="center"/>
    </xf>
    <xf numFmtId="181" fontId="11" fillId="0" borderId="0" applyAlignment="1" pivotButton="0" quotePrefix="0" xfId="0">
      <alignment horizontal="general" vertical="center"/>
    </xf>
    <xf numFmtId="181" fontId="6" fillId="0" borderId="0" applyAlignment="1" pivotButton="0" quotePrefix="0" xfId="0">
      <alignment horizontal="general" vertical="center"/>
    </xf>
    <xf numFmtId="181" fontId="6" fillId="0" borderId="0" applyAlignment="1" pivotButton="0" quotePrefix="0" xfId="0">
      <alignment horizontal="center" vertical="center"/>
    </xf>
    <xf numFmtId="165" fontId="8" fillId="8" borderId="78" applyAlignment="1" pivotButton="0" quotePrefix="0" xfId="0">
      <alignment horizontal="center" vertical="center"/>
    </xf>
    <xf numFmtId="165" fontId="11" fillId="6" borderId="82" applyAlignment="1" pivotButton="0" quotePrefix="0" xfId="0">
      <alignment horizontal="general" vertical="center"/>
    </xf>
    <xf numFmtId="181" fontId="11" fillId="6" borderId="83" applyAlignment="1" pivotButton="0" quotePrefix="0" xfId="0">
      <alignment horizontal="general" vertical="center"/>
    </xf>
    <xf numFmtId="165" fontId="11" fillId="6" borderId="90" applyAlignment="1" pivotButton="0" quotePrefix="0" xfId="0">
      <alignment horizontal="general" vertical="center"/>
    </xf>
    <xf numFmtId="165" fontId="11" fillId="6" borderId="83" applyAlignment="1" pivotButton="0" quotePrefix="0" xfId="0">
      <alignment horizontal="general" vertical="center"/>
    </xf>
    <xf numFmtId="181" fontId="11" fillId="6" borderId="85" applyAlignment="1" pivotButton="0" quotePrefix="0" xfId="0">
      <alignment horizontal="general" vertical="center"/>
    </xf>
    <xf numFmtId="181" fontId="11" fillId="6" borderId="2" applyAlignment="1" pivotButton="0" quotePrefix="0" xfId="0">
      <alignment horizontal="general" vertical="center"/>
    </xf>
    <xf numFmtId="165" fontId="11" fillId="6" borderId="82" applyAlignment="1" pivotButton="0" quotePrefix="0" xfId="0">
      <alignment horizontal="right" vertical="center"/>
    </xf>
    <xf numFmtId="165" fontId="11" fillId="6" borderId="2" applyAlignment="1" pivotButton="0" quotePrefix="0" xfId="0">
      <alignment horizontal="right" vertical="center"/>
    </xf>
    <xf numFmtId="10" fontId="11" fillId="0" borderId="82" applyAlignment="1" pivotButton="0" quotePrefix="0" xfId="19">
      <alignment horizontal="general" vertical="center"/>
    </xf>
    <xf numFmtId="165" fontId="11" fillId="0" borderId="91" applyAlignment="1" pivotButton="0" quotePrefix="0" xfId="19">
      <alignment horizontal="right" vertical="center"/>
    </xf>
    <xf numFmtId="165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general" vertical="center"/>
    </xf>
    <xf numFmtId="181" fontId="11" fillId="0" borderId="0" applyAlignment="1" pivotButton="0" quotePrefix="0" xfId="0">
      <alignment horizontal="center" vertical="center"/>
    </xf>
    <xf numFmtId="165" fontId="10" fillId="4" borderId="2" applyAlignment="1" pivotButton="0" quotePrefix="0" xfId="0">
      <alignment horizontal="left" vertical="center"/>
    </xf>
    <xf numFmtId="165" fontId="11" fillId="4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center" vertical="center"/>
    </xf>
    <xf numFmtId="165" fontId="8" fillId="8" borderId="92" applyAlignment="1" pivotButton="0" quotePrefix="0" xfId="0">
      <alignment horizontal="center" vertical="center"/>
    </xf>
    <xf numFmtId="165" fontId="8" fillId="8" borderId="93" applyAlignment="1" pivotButton="0" quotePrefix="0" xfId="0">
      <alignment horizontal="center" vertical="center"/>
    </xf>
    <xf numFmtId="165" fontId="8" fillId="8" borderId="15" applyAlignment="1" pivotButton="0" quotePrefix="0" xfId="0">
      <alignment horizontal="center" vertical="center" wrapText="1"/>
    </xf>
    <xf numFmtId="0" fontId="8" fillId="8" borderId="94" applyAlignment="1" pivotButton="0" quotePrefix="0" xfId="0">
      <alignment horizontal="center" vertical="center"/>
    </xf>
    <xf numFmtId="0" fontId="8" fillId="8" borderId="93" applyAlignment="1" pivotButton="0" quotePrefix="0" xfId="0">
      <alignment horizontal="center" vertical="center"/>
    </xf>
    <xf numFmtId="0" fontId="11" fillId="8" borderId="10" applyAlignment="1" pivotButton="0" quotePrefix="0" xfId="0">
      <alignment horizontal="general" vertical="center"/>
    </xf>
    <xf numFmtId="0" fontId="11" fillId="8" borderId="95" applyAlignment="1" pivotButton="0" quotePrefix="0" xfId="0">
      <alignment horizontal="general" vertical="center"/>
    </xf>
    <xf numFmtId="165" fontId="11" fillId="8" borderId="10" applyAlignment="1" pivotButton="0" quotePrefix="0" xfId="0">
      <alignment horizontal="general" vertical="center"/>
    </xf>
    <xf numFmtId="165" fontId="11" fillId="8" borderId="95" applyAlignment="1" pivotButton="0" quotePrefix="0" xfId="0">
      <alignment horizontal="general" vertical="center"/>
    </xf>
    <xf numFmtId="165" fontId="8" fillId="8" borderId="96" applyAlignment="1" pivotButton="0" quotePrefix="0" xfId="0">
      <alignment horizontal="center" vertical="center"/>
    </xf>
    <xf numFmtId="10" fontId="8" fillId="8" borderId="15" applyAlignment="1" pivotButton="0" quotePrefix="0" xfId="0">
      <alignment horizontal="center" vertical="center" wrapText="1"/>
    </xf>
    <xf numFmtId="10" fontId="8" fillId="8" borderId="4" applyAlignment="1" pivotButton="0" quotePrefix="0" xfId="0">
      <alignment horizontal="center" vertical="center" wrapText="1"/>
    </xf>
    <xf numFmtId="10" fontId="11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20" fillId="0" borderId="0" applyAlignment="1" pivotButton="0" quotePrefix="0" xfId="0">
      <alignment horizontal="center" vertical="center"/>
    </xf>
    <xf numFmtId="165" fontId="8" fillId="8" borderId="54" applyAlignment="1" pivotButton="0" quotePrefix="0" xfId="0">
      <alignment horizontal="center" vertical="center"/>
    </xf>
    <xf numFmtId="0" fontId="8" fillId="8" borderId="97" applyAlignment="1" pivotButton="0" quotePrefix="0" xfId="0">
      <alignment horizontal="center" vertical="center"/>
    </xf>
    <xf numFmtId="0" fontId="8" fillId="8" borderId="98" applyAlignment="1" pivotButton="0" quotePrefix="0" xfId="0">
      <alignment horizontal="center" vertical="center"/>
    </xf>
    <xf numFmtId="0" fontId="11" fillId="8" borderId="89" applyAlignment="1" pivotButton="0" quotePrefix="0" xfId="0">
      <alignment horizontal="general" vertical="center"/>
    </xf>
    <xf numFmtId="181" fontId="11" fillId="8" borderId="54" applyAlignment="1" pivotButton="0" quotePrefix="0" xfId="0">
      <alignment horizontal="general" vertical="center"/>
    </xf>
    <xf numFmtId="181" fontId="11" fillId="8" borderId="89" applyAlignment="1" pivotButton="0" quotePrefix="0" xfId="0">
      <alignment horizontal="general" vertical="center"/>
    </xf>
    <xf numFmtId="10" fontId="11" fillId="8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11" fillId="8" borderId="58" applyAlignment="1" pivotButton="0" quotePrefix="0" xfId="0">
      <alignment horizontal="center" vertical="center"/>
    </xf>
    <xf numFmtId="164" fontId="11" fillId="7" borderId="57" applyAlignment="1" pivotButton="0" quotePrefix="0" xfId="0">
      <alignment horizontal="center" vertical="center"/>
    </xf>
    <xf numFmtId="165" fontId="11" fillId="0" borderId="60" applyAlignment="1" pivotButton="0" quotePrefix="0" xfId="0">
      <alignment horizontal="right" vertical="center"/>
    </xf>
    <xf numFmtId="182" fontId="11" fillId="0" borderId="61" applyAlignment="1" pivotButton="0" quotePrefix="0" xfId="19">
      <alignment horizontal="general" vertical="center"/>
    </xf>
    <xf numFmtId="165" fontId="11" fillId="0" borderId="57" applyAlignment="1" pivotButton="0" quotePrefix="0" xfId="0">
      <alignment horizontal="right" vertical="center"/>
    </xf>
    <xf numFmtId="181" fontId="11" fillId="0" borderId="74" applyAlignment="1" pivotButton="0" quotePrefix="0" xfId="0">
      <alignment horizontal="general" vertical="center"/>
    </xf>
    <xf numFmtId="165" fontId="11" fillId="0" borderId="59" applyAlignment="1" pivotButton="0" quotePrefix="0" xfId="0">
      <alignment horizontal="right" vertical="center"/>
    </xf>
    <xf numFmtId="181" fontId="11" fillId="0" borderId="61" applyAlignment="1" pivotButton="0" quotePrefix="0" xfId="0">
      <alignment horizontal="general" vertical="center"/>
    </xf>
    <xf numFmtId="0" fontId="11" fillId="0" borderId="62" applyAlignment="1" pivotButton="0" quotePrefix="0" xfId="0">
      <alignment horizontal="center" vertical="center"/>
    </xf>
    <xf numFmtId="0" fontId="11" fillId="0" borderId="57" applyAlignment="1" pivotButton="0" quotePrefix="0" xfId="0">
      <alignment horizontal="right" vertical="center"/>
    </xf>
    <xf numFmtId="0" fontId="11" fillId="0" borderId="57" applyAlignment="1" pivotButton="0" quotePrefix="0" xfId="0">
      <alignment horizontal="general" vertical="center"/>
    </xf>
    <xf numFmtId="165" fontId="11" fillId="0" borderId="99" applyAlignment="1" pivotButton="0" quotePrefix="0" xfId="0">
      <alignment horizontal="right" vertical="center"/>
    </xf>
    <xf numFmtId="165" fontId="11" fillId="6" borderId="57" applyAlignment="1" pivotButton="0" quotePrefix="0" xfId="0">
      <alignment horizontal="right" vertical="center"/>
    </xf>
    <xf numFmtId="181" fontId="11" fillId="6" borderId="61" applyAlignment="1" pivotButton="0" quotePrefix="0" xfId="0">
      <alignment horizontal="general" vertical="center"/>
    </xf>
    <xf numFmtId="165" fontId="11" fillId="0" borderId="62" applyAlignment="1" pivotButton="0" quotePrefix="0" xfId="0">
      <alignment horizontal="right" vertical="center"/>
    </xf>
    <xf numFmtId="183" fontId="11" fillId="0" borderId="59" applyAlignment="1" pivotButton="0" quotePrefix="0" xfId="0">
      <alignment horizontal="general" vertical="center"/>
    </xf>
    <xf numFmtId="184" fontId="11" fillId="0" borderId="10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171" fontId="11" fillId="0" borderId="99" applyAlignment="1" pivotButton="0" quotePrefix="0" xfId="16">
      <alignment horizontal="right" vertical="center"/>
    </xf>
    <xf numFmtId="165" fontId="11" fillId="0" borderId="62" applyAlignment="1" pivotButton="0" quotePrefix="0" xfId="16">
      <alignment horizontal="right" vertical="center"/>
    </xf>
    <xf numFmtId="184" fontId="11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167" fontId="11" fillId="0" borderId="99" applyAlignment="1" pivotButton="0" quotePrefix="0" xfId="16">
      <alignment horizontal="right" vertical="center"/>
    </xf>
    <xf numFmtId="167" fontId="11" fillId="0" borderId="61" applyAlignment="1" pivotButton="0" quotePrefix="0" xfId="16">
      <alignment horizontal="general" vertical="center"/>
    </xf>
    <xf numFmtId="167" fontId="11" fillId="0" borderId="0" applyAlignment="1" pivotButton="0" quotePrefix="0" xfId="16">
      <alignment horizontal="general" vertical="center"/>
    </xf>
    <xf numFmtId="167" fontId="11" fillId="0" borderId="100" applyAlignment="1" pivotButton="0" quotePrefix="0" xfId="16">
      <alignment horizontal="general" vertical="center"/>
    </xf>
    <xf numFmtId="0" fontId="11" fillId="0" borderId="99" applyAlignment="1" pivotButton="0" quotePrefix="0" xfId="0">
      <alignment horizontal="right" vertical="center"/>
    </xf>
    <xf numFmtId="167" fontId="11" fillId="0" borderId="57" applyAlignment="1" pivotButton="0" quotePrefix="0" xfId="16">
      <alignment horizontal="right" vertical="center"/>
    </xf>
    <xf numFmtId="167" fontId="11" fillId="0" borderId="74" applyAlignment="1" pivotButton="0" quotePrefix="0" xfId="16">
      <alignment horizontal="general" vertical="center"/>
    </xf>
    <xf numFmtId="167" fontId="11" fillId="0" borderId="59" applyAlignment="1" pivotButton="0" quotePrefix="0" xfId="16">
      <alignment horizontal="right" vertical="center"/>
    </xf>
    <xf numFmtId="167" fontId="11" fillId="0" borderId="57" applyAlignment="1" pivotButton="0" quotePrefix="0" xfId="16">
      <alignment horizontal="general" vertical="center"/>
    </xf>
    <xf numFmtId="167" fontId="11" fillId="6" borderId="57" applyAlignment="1" pivotButton="0" quotePrefix="0" xfId="16">
      <alignment horizontal="right" vertical="center"/>
    </xf>
    <xf numFmtId="167" fontId="11" fillId="0" borderId="59" applyAlignment="1" pivotButton="0" quotePrefix="0" xfId="16">
      <alignment horizontal="general" vertical="center"/>
    </xf>
    <xf numFmtId="165" fontId="8" fillId="8" borderId="101" applyAlignment="1" pivotButton="0" quotePrefix="0" xfId="0">
      <alignment horizontal="center" vertical="center"/>
    </xf>
    <xf numFmtId="164" fontId="11" fillId="6" borderId="77" applyAlignment="1" pivotButton="0" quotePrefix="0" xfId="0">
      <alignment horizontal="center" vertical="center"/>
    </xf>
    <xf numFmtId="165" fontId="11" fillId="6" borderId="90" applyAlignment="1" pivotButton="0" quotePrefix="0" xfId="0">
      <alignment horizontal="right" vertical="center"/>
    </xf>
    <xf numFmtId="182" fontId="11" fillId="6" borderId="102" applyAlignment="1" pivotButton="0" quotePrefix="0" xfId="19">
      <alignment horizontal="general" vertical="center"/>
    </xf>
    <xf numFmtId="165" fontId="11" fillId="6" borderId="59" applyAlignment="1" pivotButton="0" quotePrefix="0" xfId="0">
      <alignment horizontal="right" vertical="center"/>
    </xf>
    <xf numFmtId="181" fontId="11" fillId="6" borderId="74" applyAlignment="1" pivotButton="0" quotePrefix="0" xfId="0">
      <alignment horizontal="general" vertical="center"/>
    </xf>
    <xf numFmtId="165" fontId="11" fillId="6" borderId="60" applyAlignment="1" pivotButton="0" quotePrefix="0" xfId="0">
      <alignment horizontal="right" vertical="center"/>
    </xf>
    <xf numFmtId="165" fontId="11" fillId="6" borderId="62" applyAlignment="1" pivotButton="0" quotePrefix="0" xfId="0">
      <alignment horizontal="center" vertical="center"/>
    </xf>
    <xf numFmtId="171" fontId="11" fillId="6" borderId="59" applyAlignment="1" pivotButton="0" quotePrefix="0" xfId="16">
      <alignment horizontal="right" vertical="center"/>
    </xf>
    <xf numFmtId="165" fontId="11" fillId="6" borderId="59" applyAlignment="1" pivotButton="0" quotePrefix="0" xfId="19">
      <alignment horizontal="right" vertical="center"/>
    </xf>
    <xf numFmtId="165" fontId="11" fillId="6" borderId="99" applyAlignment="1" pivotButton="0" quotePrefix="0" xfId="0">
      <alignment horizontal="right" vertical="center"/>
    </xf>
    <xf numFmtId="165" fontId="11" fillId="6" borderId="103" applyAlignment="1" pivotButton="0" quotePrefix="0" xfId="19">
      <alignment horizontal="center" vertical="center"/>
    </xf>
    <xf numFmtId="183" fontId="11" fillId="6" borderId="104" applyAlignment="1" pivotButton="0" quotePrefix="0" xfId="0">
      <alignment horizontal="general" vertical="center"/>
    </xf>
    <xf numFmtId="165" fontId="11" fillId="6" borderId="105" applyAlignment="1" pivotButton="0" quotePrefix="0" xfId="0">
      <alignment horizontal="general" vertical="center"/>
    </xf>
    <xf numFmtId="165" fontId="18" fillId="0" borderId="0" applyAlignment="1" pivotButton="0" quotePrefix="0" xfId="0">
      <alignment horizontal="general" vertical="center"/>
    </xf>
    <xf numFmtId="165" fontId="20" fillId="0" borderId="0" applyAlignment="1" pivotButton="0" quotePrefix="0" xfId="0">
      <alignment horizontal="general" vertical="center"/>
    </xf>
    <xf numFmtId="164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right" vertical="center"/>
    </xf>
    <xf numFmtId="182" fontId="11" fillId="0" borderId="0" applyAlignment="1" pivotButton="0" quotePrefix="0" xfId="19">
      <alignment horizontal="general" vertical="center"/>
    </xf>
    <xf numFmtId="183" fontId="11" fillId="0" borderId="0" applyAlignment="1" pivotButton="0" quotePrefix="0" xfId="19">
      <alignment horizontal="right" vertical="center"/>
    </xf>
    <xf numFmtId="165" fontId="11" fillId="0" borderId="0" applyAlignment="1" pivotButton="0" quotePrefix="0" xfId="19">
      <alignment horizontal="center" vertical="center"/>
    </xf>
    <xf numFmtId="165" fontId="6" fillId="7" borderId="28" applyAlignment="1" pivotButton="0" quotePrefix="0" xfId="0">
      <alignment horizontal="general" vertical="center"/>
    </xf>
    <xf numFmtId="10" fontId="6" fillId="7" borderId="28" applyAlignment="1" pivotButton="0" quotePrefix="0" xfId="0">
      <alignment horizontal="general" vertical="center"/>
    </xf>
    <xf numFmtId="165" fontId="8" fillId="0" borderId="98" applyAlignment="1" pivotButton="0" quotePrefix="0" xfId="0">
      <alignment horizontal="center" vertical="center"/>
    </xf>
    <xf numFmtId="165" fontId="8" fillId="0" borderId="19" applyAlignment="1" pivotButton="0" quotePrefix="0" xfId="0">
      <alignment horizontal="center" vertical="center"/>
    </xf>
    <xf numFmtId="176" fontId="11" fillId="4" borderId="19" applyAlignment="1" pivotButton="0" quotePrefix="0" xfId="0">
      <alignment horizontal="right" vertical="center"/>
    </xf>
    <xf numFmtId="167" fontId="0" fillId="0" borderId="0" applyAlignment="1" pivotButton="0" quotePrefix="0" xfId="16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5" borderId="40" applyAlignment="1" pivotButton="0" quotePrefix="0" xfId="0">
      <alignment horizontal="center" vertical="center"/>
    </xf>
    <xf numFmtId="167" fontId="26" fillId="5" borderId="28" applyAlignment="1" pivotButton="0" quotePrefix="0" xfId="16">
      <alignment horizontal="center" vertical="center"/>
    </xf>
    <xf numFmtId="167" fontId="25" fillId="5" borderId="28" applyAlignment="1" pivotButton="0" quotePrefix="0" xfId="16">
      <alignment horizontal="center" vertical="center" wrapText="1"/>
    </xf>
    <xf numFmtId="0" fontId="25" fillId="5" borderId="28" applyAlignment="1" pivotButton="0" quotePrefix="0" xfId="0">
      <alignment horizontal="center" vertical="center" wrapText="1"/>
    </xf>
    <xf numFmtId="0" fontId="25" fillId="5" borderId="44" applyAlignment="1" pivotButton="0" quotePrefix="0" xfId="0">
      <alignment horizontal="center" vertical="center"/>
    </xf>
    <xf numFmtId="0" fontId="27" fillId="7" borderId="40" applyAlignment="1" pivotButton="0" quotePrefix="0" xfId="0">
      <alignment horizontal="center" vertical="center"/>
    </xf>
    <xf numFmtId="167" fontId="28" fillId="7" borderId="28" applyAlignment="1" pivotButton="0" quotePrefix="0" xfId="16">
      <alignment horizontal="center" vertical="center"/>
    </xf>
    <xf numFmtId="171" fontId="28" fillId="7" borderId="28" applyAlignment="1" pivotButton="0" quotePrefix="0" xfId="16">
      <alignment horizontal="general" vertical="center"/>
    </xf>
    <xf numFmtId="171" fontId="28" fillId="0" borderId="28" applyAlignment="1" pivotButton="0" quotePrefix="0" xfId="16">
      <alignment horizontal="general" vertical="center"/>
    </xf>
    <xf numFmtId="167" fontId="28" fillId="7" borderId="28" applyAlignment="1" pivotButton="0" quotePrefix="0" xfId="16">
      <alignment horizontal="general" vertical="center"/>
    </xf>
    <xf numFmtId="0" fontId="28" fillId="0" borderId="28" applyAlignment="1" pivotButton="0" quotePrefix="0" xfId="0">
      <alignment horizontal="general" vertical="center"/>
    </xf>
    <xf numFmtId="0" fontId="28" fillId="0" borderId="44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71" fontId="26" fillId="5" borderId="28" applyAlignment="1" pivotButton="0" quotePrefix="0" xfId="16">
      <alignment horizontal="general" vertical="center"/>
    </xf>
    <xf numFmtId="167" fontId="26" fillId="5" borderId="28" applyAlignment="1" pivotButton="0" quotePrefix="0" xfId="16">
      <alignment horizontal="general" vertical="center"/>
    </xf>
    <xf numFmtId="0" fontId="26" fillId="5" borderId="28" applyAlignment="1" pivotButton="0" quotePrefix="0" xfId="0">
      <alignment horizontal="general" vertical="center"/>
    </xf>
    <xf numFmtId="0" fontId="26" fillId="5" borderId="44" applyAlignment="1" pivotButton="0" quotePrefix="0" xfId="0">
      <alignment horizontal="general" vertical="center"/>
    </xf>
    <xf numFmtId="0" fontId="29" fillId="9" borderId="40" applyAlignment="1" pivotButton="0" quotePrefix="0" xfId="0">
      <alignment horizontal="center" vertical="center"/>
    </xf>
    <xf numFmtId="0" fontId="29" fillId="9" borderId="28" applyAlignment="1" pivotButton="0" quotePrefix="0" xfId="0">
      <alignment horizontal="center" vertical="center"/>
    </xf>
    <xf numFmtId="167" fontId="29" fillId="9" borderId="28" applyAlignment="1" pivotButton="0" quotePrefix="0" xfId="16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0" fillId="9" borderId="28" applyAlignment="1" pivotButton="0" quotePrefix="0" xfId="0">
      <alignment horizontal="center" vertical="center"/>
    </xf>
    <xf numFmtId="167" fontId="30" fillId="9" borderId="28" applyAlignment="1" pivotButton="0" quotePrefix="0" xfId="16">
      <alignment horizontal="center" vertical="center"/>
    </xf>
    <xf numFmtId="0" fontId="28" fillId="0" borderId="40" applyAlignment="1" pivotButton="0" quotePrefix="0" xfId="0">
      <alignment horizontal="center" vertical="center"/>
    </xf>
    <xf numFmtId="167" fontId="28" fillId="0" borderId="28" applyAlignment="1" pivotButton="0" quotePrefix="0" xfId="16">
      <alignment horizontal="general" vertical="center"/>
    </xf>
    <xf numFmtId="0" fontId="27" fillId="0" borderId="28" applyAlignment="1" pivotButton="0" quotePrefix="0" xfId="0">
      <alignment horizontal="general" vertical="center"/>
    </xf>
    <xf numFmtId="0" fontId="0" fillId="0" borderId="44" applyAlignment="1" pivotButton="0" quotePrefix="0" xfId="0">
      <alignment horizontal="general" vertical="center"/>
    </xf>
    <xf numFmtId="167" fontId="28" fillId="0" borderId="40" applyAlignment="1" pivotButton="0" quotePrefix="0" xfId="16">
      <alignment horizontal="center" vertical="center"/>
    </xf>
    <xf numFmtId="0" fontId="27" fillId="5" borderId="40" applyAlignment="1" pivotButton="0" quotePrefix="0" xfId="0">
      <alignment horizontal="center" vertical="center"/>
    </xf>
    <xf numFmtId="171" fontId="28" fillId="5" borderId="28" applyAlignment="1" pivotButton="0" quotePrefix="0" xfId="16">
      <alignment horizontal="general" vertical="center"/>
    </xf>
    <xf numFmtId="167" fontId="28" fillId="5" borderId="28" applyAlignment="1" pivotButton="0" quotePrefix="0" xfId="16">
      <alignment horizontal="general" vertical="center"/>
    </xf>
    <xf numFmtId="0" fontId="28" fillId="5" borderId="28" applyAlignment="1" pivotButton="0" quotePrefix="0" xfId="0">
      <alignment horizontal="general" vertical="center"/>
    </xf>
    <xf numFmtId="0" fontId="0" fillId="5" borderId="44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32" fillId="5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185" fontId="0" fillId="0" borderId="28" applyAlignment="1" pivotButton="0" quotePrefix="0" xfId="0">
      <alignment horizontal="center" vertical="center"/>
    </xf>
    <xf numFmtId="0" fontId="32" fillId="0" borderId="28" applyAlignment="1" pivotButton="0" quotePrefix="0" xfId="0">
      <alignment horizontal="center" vertical="center"/>
    </xf>
    <xf numFmtId="185" fontId="32" fillId="5" borderId="28" applyAlignment="1" pivotButton="0" quotePrefix="0" xfId="0">
      <alignment horizontal="center" vertical="center"/>
    </xf>
    <xf numFmtId="0" fontId="32" fillId="5" borderId="28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33" fillId="2" borderId="0" applyAlignment="1" pivotButton="0" quotePrefix="0" xfId="21">
      <alignment horizontal="general" vertical="bottom"/>
    </xf>
    <xf numFmtId="0" fontId="34" fillId="5" borderId="2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center"/>
    </xf>
    <xf numFmtId="2" fontId="0" fillId="0" borderId="28" applyAlignment="1" pivotButton="0" quotePrefix="0" xfId="0">
      <alignment horizontal="center" vertical="center"/>
    </xf>
    <xf numFmtId="0" fontId="34" fillId="0" borderId="28" applyAlignment="1" pivotButton="0" quotePrefix="0" xfId="0">
      <alignment horizontal="center" vertical="center"/>
    </xf>
    <xf numFmtId="2" fontId="35" fillId="0" borderId="44" applyAlignment="1" pivotButton="0" quotePrefix="0" xfId="0">
      <alignment horizontal="general" vertical="center"/>
    </xf>
    <xf numFmtId="2" fontId="35" fillId="0" borderId="40" applyAlignment="1" pivotButton="0" quotePrefix="0" xfId="0">
      <alignment horizontal="center" vertical="center"/>
    </xf>
    <xf numFmtId="2" fontId="32" fillId="0" borderId="28" applyAlignment="1" pivotButton="0" quotePrefix="0" xfId="0">
      <alignment horizontal="center" vertical="center"/>
    </xf>
    <xf numFmtId="183" fontId="0" fillId="0" borderId="28" applyAlignment="1" pivotButton="0" quotePrefix="0" xfId="0">
      <alignment horizontal="center" vertical="center"/>
    </xf>
    <xf numFmtId="0" fontId="32" fillId="0" borderId="34" applyAlignment="1" pivotButton="0" quotePrefix="0" xfId="0">
      <alignment horizontal="center" vertical="center"/>
    </xf>
    <xf numFmtId="0" fontId="0" fillId="0" borderId="106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bottom"/>
    </xf>
    <xf numFmtId="0" fontId="0" fillId="0" borderId="28" applyAlignment="1" pivotButton="0" quotePrefix="0" xfId="0">
      <alignment horizontal="general" vertical="bottom"/>
    </xf>
    <xf numFmtId="2" fontId="0" fillId="0" borderId="28" applyAlignment="1" pivotButton="0" quotePrefix="0" xfId="0">
      <alignment horizontal="center" vertical="bottom"/>
    </xf>
    <xf numFmtId="2" fontId="32" fillId="5" borderId="28" applyAlignment="1" pivotButton="0" quotePrefix="0" xfId="0">
      <alignment horizontal="center" vertical="center"/>
    </xf>
    <xf numFmtId="0" fontId="36" fillId="5" borderId="1" applyAlignment="1" pivotButton="0" quotePrefix="0" xfId="22">
      <alignment horizontal="center" vertical="center"/>
    </xf>
    <xf numFmtId="2" fontId="32" fillId="5" borderId="28" applyAlignment="1" pivotButton="0" quotePrefix="0" xfId="0">
      <alignment horizontal="general" vertical="center"/>
    </xf>
    <xf numFmtId="1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2" fontId="0" fillId="0" borderId="0" applyAlignment="1" pivotButton="0" quotePrefix="0" xfId="0">
      <alignment horizontal="general" vertical="center"/>
    </xf>
    <xf numFmtId="0" fontId="5" fillId="0" borderId="4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38" fillId="0" borderId="40" applyAlignment="1" pivotButton="0" quotePrefix="0" xfId="0">
      <alignment horizontal="center" vertical="center"/>
    </xf>
    <xf numFmtId="9" fontId="0" fillId="0" borderId="0" applyAlignment="1" pivotButton="0" quotePrefix="0" xfId="0">
      <alignment horizontal="general" vertical="center"/>
    </xf>
    <xf numFmtId="1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2" fontId="0" fillId="0" borderId="0" applyAlignment="1" pivotButton="0" quotePrefix="0" xfId="0">
      <alignment horizontal="general" vertical="center"/>
    </xf>
    <xf numFmtId="0" fontId="0" fillId="0" borderId="28" applyAlignment="1" pivotButton="0" quotePrefix="0" xfId="0">
      <alignment horizontal="general" vertical="center"/>
    </xf>
    <xf numFmtId="0" fontId="38" fillId="0" borderId="28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general" vertical="center"/>
    </xf>
    <xf numFmtId="10" fontId="0" fillId="0" borderId="0" applyAlignment="1" pivotButton="0" quotePrefix="0" xfId="0">
      <alignment horizontal="general" vertical="center"/>
    </xf>
    <xf numFmtId="183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center"/>
    </xf>
    <xf numFmtId="165" fontId="4" fillId="0" borderId="0" applyAlignment="1" pivotButton="0" quotePrefix="0" xfId="0">
      <alignment horizontal="general" vertical="center"/>
    </xf>
    <xf numFmtId="165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9" fillId="10" borderId="120" applyAlignment="1" pivotButton="0" quotePrefix="0" xfId="0">
      <alignment horizontal="center" vertical="center"/>
    </xf>
    <xf numFmtId="0" fontId="0" fillId="0" borderId="40" pivotButton="0" quotePrefix="0" xfId="0"/>
    <xf numFmtId="165" fontId="39" fillId="10" borderId="120" applyAlignment="1" pivotButton="0" quotePrefix="0" xfId="0">
      <alignment horizontal="center" vertical="center"/>
    </xf>
    <xf numFmtId="0" fontId="0" fillId="0" borderId="29" pivotButton="0" quotePrefix="0" xfId="0"/>
    <xf numFmtId="165" fontId="40" fillId="0" borderId="120" applyAlignment="1" pivotButton="0" quotePrefix="0" xfId="0">
      <alignment horizontal="center" vertical="center"/>
    </xf>
    <xf numFmtId="4" fontId="40" fillId="0" borderId="120" applyAlignment="1" pivotButton="0" quotePrefix="0" xfId="0">
      <alignment horizontal="right" vertical="center"/>
    </xf>
    <xf numFmtId="0" fontId="40" fillId="0" borderId="120" applyAlignment="1" pivotButton="0" quotePrefix="0" xfId="0">
      <alignment horizontal="left" vertical="center"/>
    </xf>
    <xf numFmtId="165" fontId="40" fillId="0" borderId="120" applyAlignment="1" pivotButton="0" quotePrefix="0" xfId="0">
      <alignment horizontal="left" vertical="center"/>
    </xf>
    <xf numFmtId="0" fontId="40" fillId="0" borderId="120" applyAlignment="1" pivotButton="0" quotePrefix="0" xfId="0">
      <alignment horizontal="center" vertical="center"/>
    </xf>
    <xf numFmtId="188" fontId="40" fillId="0" borderId="120" applyAlignment="1" pivotButton="0" quotePrefix="0" xfId="0">
      <alignment horizontal="center" vertical="center"/>
    </xf>
    <xf numFmtId="164" fontId="6" fillId="0" borderId="0" applyAlignment="1" pivotButton="0" quotePrefix="0" xfId="0">
      <alignment horizontal="general" vertical="center"/>
    </xf>
    <xf numFmtId="165" fontId="7" fillId="4" borderId="0" applyAlignment="1" pivotButton="0" quotePrefix="0" xfId="0">
      <alignment horizontal="general" vertical="center"/>
    </xf>
    <xf numFmtId="165" fontId="6" fillId="4" borderId="0" applyAlignment="1" pivotButton="0" quotePrefix="0" xfId="0">
      <alignment horizontal="general" vertical="center"/>
    </xf>
    <xf numFmtId="49" fontId="6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general" vertical="center"/>
    </xf>
    <xf numFmtId="165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bottom"/>
    </xf>
    <xf numFmtId="165" fontId="8" fillId="4" borderId="0" applyAlignment="1" pivotButton="0" quotePrefix="0" xfId="0">
      <alignment horizontal="general" vertical="center"/>
    </xf>
    <xf numFmtId="49" fontId="9" fillId="4" borderId="2" applyAlignment="1" pivotButton="0" quotePrefix="0" xfId="0">
      <alignment horizontal="right" vertical="center"/>
    </xf>
    <xf numFmtId="0" fontId="0" fillId="0" borderId="2" pivotButton="0" quotePrefix="0" xfId="0"/>
    <xf numFmtId="165" fontId="11" fillId="4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general" vertical="center"/>
    </xf>
    <xf numFmtId="165" fontId="8" fillId="4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general" vertical="center"/>
    </xf>
    <xf numFmtId="165" fontId="8" fillId="5" borderId="3" applyAlignment="1" pivotButton="0" quotePrefix="0" xfId="0">
      <alignment horizontal="center" vertical="center"/>
    </xf>
    <xf numFmtId="165" fontId="8" fillId="5" borderId="4" applyAlignment="1" pivotButton="0" quotePrefix="0" xfId="0">
      <alignment horizontal="left" vertical="center"/>
    </xf>
    <xf numFmtId="0" fontId="0" fillId="0" borderId="5" pivotButton="0" quotePrefix="0" xfId="0"/>
    <xf numFmtId="165" fontId="11" fillId="5" borderId="5" applyAlignment="1" pivotButton="0" quotePrefix="0" xfId="0">
      <alignment horizontal="general" vertical="center"/>
    </xf>
    <xf numFmtId="165" fontId="11" fillId="5" borderId="6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0" fontId="0" fillId="0" borderId="108" pivotButton="0" quotePrefix="0" xfId="0"/>
    <xf numFmtId="165" fontId="8" fillId="5" borderId="8" applyAlignment="1" pivotButton="0" quotePrefix="0" xfId="0">
      <alignment horizontal="center" vertical="center"/>
    </xf>
    <xf numFmtId="165" fontId="8" fillId="5" borderId="9" applyAlignment="1" pivotButton="0" quotePrefix="0" xfId="0">
      <alignment horizontal="center" vertical="center"/>
    </xf>
    <xf numFmtId="0" fontId="0" fillId="0" borderId="95" pivotButton="0" quotePrefix="0" xfId="0"/>
    <xf numFmtId="165" fontId="8" fillId="5" borderId="10" applyAlignment="1" pivotButton="0" quotePrefix="0" xfId="0">
      <alignment horizontal="center" vertical="center"/>
    </xf>
    <xf numFmtId="0" fontId="0" fillId="0" borderId="10" pivotButton="0" quotePrefix="0" xfId="0"/>
    <xf numFmtId="165" fontId="11" fillId="5" borderId="11" applyAlignment="1" pivotButton="0" quotePrefix="0" xfId="0">
      <alignment horizontal="center" vertical="center"/>
    </xf>
    <xf numFmtId="0" fontId="0" fillId="0" borderId="96" pivotButton="0" quotePrefix="0" xfId="0"/>
    <xf numFmtId="0" fontId="0" fillId="0" borderId="109" pivotButton="0" quotePrefix="0" xfId="0"/>
    <xf numFmtId="165" fontId="8" fillId="5" borderId="12" applyAlignment="1" pivotButton="0" quotePrefix="0" xfId="0">
      <alignment horizontal="center" vertical="center"/>
    </xf>
    <xf numFmtId="165" fontId="8" fillId="5" borderId="13" applyAlignment="1" pivotButton="0" quotePrefix="0" xfId="0">
      <alignment horizontal="center" vertical="center"/>
    </xf>
    <xf numFmtId="165" fontId="8" fillId="5" borderId="14" applyAlignment="1" pivotButton="0" quotePrefix="0" xfId="0">
      <alignment horizontal="center" vertical="center" wrapText="1"/>
    </xf>
    <xf numFmtId="165" fontId="8" fillId="5" borderId="15" applyAlignment="1" pivotButton="0" quotePrefix="0" xfId="0">
      <alignment horizontal="center" vertical="center"/>
    </xf>
    <xf numFmtId="165" fontId="8" fillId="5" borderId="5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8" fillId="5" borderId="16" applyAlignment="1" pivotButton="0" quotePrefix="0" xfId="0">
      <alignment horizontal="center" vertical="center"/>
    </xf>
    <xf numFmtId="165" fontId="8" fillId="4" borderId="17" applyAlignment="1" pivotButton="0" quotePrefix="0" xfId="0">
      <alignment horizontal="center" vertical="center"/>
    </xf>
    <xf numFmtId="165" fontId="8" fillId="4" borderId="18" applyAlignment="1" pivotButton="0" quotePrefix="0" xfId="0">
      <alignment horizontal="left" vertical="center"/>
    </xf>
    <xf numFmtId="0" fontId="0" fillId="0" borderId="19" pivotButton="0" quotePrefix="0" xfId="0"/>
    <xf numFmtId="165" fontId="11" fillId="4" borderId="19" applyAlignment="1" pivotButton="0" quotePrefix="0" xfId="0">
      <alignment horizontal="general" vertical="center"/>
    </xf>
    <xf numFmtId="0" fontId="0" fillId="0" borderId="48" pivotButton="0" quotePrefix="0" xfId="0"/>
    <xf numFmtId="165" fontId="11" fillId="5" borderId="20" applyAlignment="1" pivotButton="0" quotePrefix="0" xfId="0">
      <alignment horizontal="center" vertical="center"/>
    </xf>
    <xf numFmtId="165" fontId="11" fillId="5" borderId="21" applyAlignment="1" pivotButton="0" quotePrefix="0" xfId="0">
      <alignment horizontal="center" vertical="center"/>
    </xf>
    <xf numFmtId="165" fontId="11" fillId="5" borderId="22" applyAlignment="1" pivotButton="0" quotePrefix="0" xfId="0">
      <alignment horizontal="center" vertical="center"/>
    </xf>
    <xf numFmtId="165" fontId="11" fillId="5" borderId="23" applyAlignment="1" pivotButton="0" quotePrefix="0" xfId="0">
      <alignment horizontal="center" vertical="center"/>
    </xf>
    <xf numFmtId="165" fontId="8" fillId="5" borderId="24" applyAlignment="1" pivotButton="0" quotePrefix="0" xfId="0">
      <alignment horizontal="center" vertical="center"/>
    </xf>
    <xf numFmtId="165" fontId="8" fillId="5" borderId="22" applyAlignment="1" pivotButton="0" quotePrefix="0" xfId="0">
      <alignment horizontal="center" vertical="center"/>
    </xf>
    <xf numFmtId="165" fontId="8" fillId="5" borderId="25" applyAlignment="1" pivotButton="0" quotePrefix="0" xfId="0">
      <alignment horizontal="center" vertical="center"/>
    </xf>
    <xf numFmtId="165" fontId="8" fillId="5" borderId="20" applyAlignment="1" pivotButton="0" quotePrefix="0" xfId="0">
      <alignment horizontal="center" vertical="center"/>
    </xf>
    <xf numFmtId="165" fontId="8" fillId="5" borderId="23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68" pivotButton="0" quotePrefix="0" xfId="0"/>
    <xf numFmtId="0" fontId="0" fillId="0" borderId="72" pivotButton="0" quotePrefix="0" xfId="0"/>
    <xf numFmtId="0" fontId="0" fillId="0" borderId="113" pivotButton="0" quotePrefix="0" xfId="0"/>
    <xf numFmtId="0" fontId="0" fillId="0" borderId="50" pivotButton="0" quotePrefix="0" xfId="0"/>
    <xf numFmtId="165" fontId="11" fillId="5" borderId="26" applyAlignment="1" pivotButton="0" quotePrefix="0" xfId="0">
      <alignment horizontal="center" vertical="center"/>
    </xf>
    <xf numFmtId="165" fontId="8" fillId="0" borderId="27" applyAlignment="1" pivotButton="0" quotePrefix="0" xfId="0">
      <alignment horizontal="center" vertical="center"/>
    </xf>
    <xf numFmtId="49" fontId="11" fillId="0" borderId="28" applyAlignment="1" pivotButton="0" quotePrefix="0" xfId="16">
      <alignment horizontal="center" vertical="center"/>
    </xf>
    <xf numFmtId="166" fontId="11" fillId="0" borderId="29" applyAlignment="1" pivotButton="0" quotePrefix="0" xfId="0">
      <alignment horizontal="general" vertical="center"/>
    </xf>
    <xf numFmtId="168" fontId="11" fillId="0" borderId="29" applyAlignment="1" pivotButton="0" quotePrefix="0" xfId="0">
      <alignment horizontal="general" vertical="center"/>
    </xf>
    <xf numFmtId="165" fontId="11" fillId="0" borderId="29" applyAlignment="1" pivotButton="0" quotePrefix="0" xfId="0">
      <alignment horizontal="general" vertical="center"/>
    </xf>
    <xf numFmtId="49" fontId="11" fillId="5" borderId="30" applyAlignment="1" pivotButton="0" quotePrefix="0" xfId="0">
      <alignment horizontal="center" vertical="center"/>
    </xf>
    <xf numFmtId="171" fontId="11" fillId="0" borderId="31" applyAlignment="1" pivotButton="0" quotePrefix="0" xfId="16">
      <alignment horizontal="general" vertical="center"/>
    </xf>
    <xf numFmtId="171" fontId="11" fillId="0" borderId="32" applyAlignment="1" pivotButton="0" quotePrefix="0" xfId="16">
      <alignment horizontal="general" vertical="center"/>
    </xf>
    <xf numFmtId="171" fontId="11" fillId="0" borderId="33" applyAlignment="1" pivotButton="0" quotePrefix="0" xfId="16">
      <alignment horizontal="general" vertical="center"/>
    </xf>
    <xf numFmtId="171" fontId="11" fillId="5" borderId="34" applyAlignment="1" pivotButton="0" quotePrefix="0" xfId="16">
      <alignment horizontal="general" vertical="center"/>
    </xf>
    <xf numFmtId="171" fontId="11" fillId="5" borderId="35" applyAlignment="1" pivotButton="0" quotePrefix="0" xfId="16">
      <alignment horizontal="general" vertical="center"/>
    </xf>
    <xf numFmtId="167" fontId="11" fillId="0" borderId="17" applyAlignment="1" pivotButton="0" quotePrefix="0" xfId="16">
      <alignment horizontal="general" vertical="center"/>
    </xf>
    <xf numFmtId="167" fontId="11" fillId="0" borderId="34" applyAlignment="1" pivotButton="0" quotePrefix="0" xfId="16">
      <alignment horizontal="general" vertical="center"/>
    </xf>
    <xf numFmtId="167" fontId="11" fillId="5" borderId="18" applyAlignment="1" pivotButton="0" quotePrefix="0" xfId="16">
      <alignment horizontal="general" vertical="center"/>
    </xf>
    <xf numFmtId="167" fontId="11" fillId="0" borderId="36" applyAlignment="1" pivotButton="0" quotePrefix="0" xfId="16">
      <alignment horizontal="general" vertical="center"/>
    </xf>
    <xf numFmtId="167" fontId="11" fillId="0" borderId="37" applyAlignment="1" pivotButton="0" quotePrefix="0" xfId="16">
      <alignment horizontal="general" vertical="center"/>
    </xf>
    <xf numFmtId="167" fontId="11" fillId="0" borderId="38" applyAlignment="1" pivotButton="0" quotePrefix="0" xfId="16">
      <alignment horizontal="general" vertical="center"/>
    </xf>
    <xf numFmtId="165" fontId="11" fillId="0" borderId="39" applyAlignment="1" pivotButton="0" quotePrefix="0" xfId="16">
      <alignment horizontal="general" vertical="center"/>
    </xf>
    <xf numFmtId="165" fontId="11" fillId="0" borderId="19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10" fontId="6" fillId="0" borderId="0" applyAlignment="1" pivotButton="0" quotePrefix="0" xfId="19">
      <alignment horizontal="general" vertical="center"/>
    </xf>
    <xf numFmtId="0" fontId="0" fillId="0" borderId="111" pivotButton="0" quotePrefix="0" xfId="0"/>
    <xf numFmtId="171" fontId="11" fillId="0" borderId="27" applyAlignment="1" pivotButton="0" quotePrefix="0" xfId="16">
      <alignment horizontal="general" vertical="center"/>
    </xf>
    <xf numFmtId="171" fontId="11" fillId="0" borderId="40" applyAlignment="1" pivotButton="0" quotePrefix="0" xfId="16">
      <alignment horizontal="general" vertical="center"/>
    </xf>
    <xf numFmtId="167" fontId="11" fillId="0" borderId="32" applyAlignment="1" pivotButton="0" quotePrefix="0" xfId="16">
      <alignment horizontal="general" vertical="center"/>
    </xf>
    <xf numFmtId="167" fontId="11" fillId="5" borderId="33" applyAlignment="1" pivotButton="0" quotePrefix="0" xfId="16">
      <alignment horizontal="general" vertical="center"/>
    </xf>
    <xf numFmtId="167" fontId="11" fillId="0" borderId="27" applyAlignment="1" pivotButton="0" quotePrefix="0" xfId="16">
      <alignment horizontal="general" vertical="center"/>
    </xf>
    <xf numFmtId="167" fontId="11" fillId="0" borderId="28" applyAlignment="1" pivotButton="0" quotePrefix="0" xfId="16">
      <alignment horizontal="general" vertical="center"/>
    </xf>
    <xf numFmtId="167" fontId="11" fillId="0" borderId="41" applyAlignment="1" pivotButton="0" quotePrefix="0" xfId="16">
      <alignment horizontal="general" vertical="center"/>
    </xf>
    <xf numFmtId="167" fontId="11" fillId="0" borderId="31" applyAlignment="1" pivotButton="0" quotePrefix="0" xfId="16">
      <alignment horizontal="general" vertical="center"/>
    </xf>
    <xf numFmtId="167" fontId="11" fillId="0" borderId="35" applyAlignment="1" pivotButton="0" quotePrefix="0" xfId="16">
      <alignment horizontal="general" vertical="center"/>
    </xf>
    <xf numFmtId="165" fontId="11" fillId="0" borderId="42" applyAlignment="1" pivotButton="0" quotePrefix="0" xfId="16">
      <alignment horizontal="general" vertical="center"/>
    </xf>
    <xf numFmtId="165" fontId="11" fillId="0" borderId="43" applyAlignment="1" pivotButton="0" quotePrefix="0" xfId="0">
      <alignment horizontal="center" vertical="center"/>
    </xf>
    <xf numFmtId="167" fontId="8" fillId="0" borderId="28" applyAlignment="1" pivotButton="0" quotePrefix="0" xfId="16">
      <alignment horizontal="center" vertical="center"/>
    </xf>
    <xf numFmtId="167" fontId="11" fillId="0" borderId="40" applyAlignment="1" pivotButton="0" quotePrefix="0" xfId="16">
      <alignment horizontal="general" vertical="center"/>
    </xf>
    <xf numFmtId="165" fontId="11" fillId="0" borderId="43" applyAlignment="1" pivotButton="0" quotePrefix="0" xfId="0">
      <alignment horizontal="left" vertical="center"/>
    </xf>
    <xf numFmtId="0" fontId="0" fillId="0" borderId="43" pivotButton="0" quotePrefix="0" xfId="0"/>
    <xf numFmtId="165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general" vertical="center"/>
    </xf>
    <xf numFmtId="170" fontId="6" fillId="0" borderId="0" applyAlignment="1" pivotButton="0" quotePrefix="0" xfId="0">
      <alignment horizontal="general" vertical="center"/>
    </xf>
    <xf numFmtId="171" fontId="11" fillId="0" borderId="27" applyAlignment="1" pivotButton="0" quotePrefix="0" xfId="0">
      <alignment horizontal="general" vertical="center"/>
    </xf>
    <xf numFmtId="171" fontId="11" fillId="0" borderId="40" applyAlignment="1" pivotButton="0" quotePrefix="0" xfId="0">
      <alignment horizontal="general" vertical="center"/>
    </xf>
    <xf numFmtId="171" fontId="11" fillId="0" borderId="33" applyAlignment="1" pivotButton="0" quotePrefix="0" xfId="0">
      <alignment horizontal="general" vertical="center"/>
    </xf>
    <xf numFmtId="167" fontId="11" fillId="5" borderId="44" applyAlignment="1" pivotButton="0" quotePrefix="0" xfId="16">
      <alignment horizontal="general" vertical="center"/>
    </xf>
    <xf numFmtId="167" fontId="11" fillId="0" borderId="45" applyAlignment="1" pivotButton="0" quotePrefix="0" xfId="16">
      <alignment horizontal="general" vertical="center"/>
    </xf>
    <xf numFmtId="167" fontId="11" fillId="0" borderId="46" applyAlignment="1" pivotButton="0" quotePrefix="0" xfId="16">
      <alignment horizontal="general" vertical="center"/>
    </xf>
    <xf numFmtId="165" fontId="11" fillId="0" borderId="47" applyAlignment="1" pivotButton="0" quotePrefix="0" xfId="16">
      <alignment horizontal="general" vertical="center"/>
    </xf>
    <xf numFmtId="165" fontId="11" fillId="0" borderId="29" applyAlignment="1" pivotButton="0" quotePrefix="0" xfId="0">
      <alignment horizontal="left" vertical="center"/>
    </xf>
    <xf numFmtId="165" fontId="11" fillId="0" borderId="29" applyAlignment="1" pivotButton="0" quotePrefix="0" xfId="0">
      <alignment horizontal="center" vertical="center"/>
    </xf>
    <xf numFmtId="165" fontId="8" fillId="0" borderId="0" applyAlignment="1" pivotButton="0" quotePrefix="0" xfId="0">
      <alignment horizontal="general" vertical="center"/>
    </xf>
    <xf numFmtId="172" fontId="6" fillId="0" borderId="0" applyAlignment="1" pivotButton="0" quotePrefix="0" xfId="0">
      <alignment horizontal="general" vertical="center"/>
    </xf>
    <xf numFmtId="165" fontId="12" fillId="0" borderId="0" applyAlignment="1" pivotButton="0" quotePrefix="0" xfId="0">
      <alignment horizontal="general" vertical="center"/>
    </xf>
    <xf numFmtId="0" fontId="0" fillId="0" borderId="31" pivotButton="0" quotePrefix="0" xfId="0"/>
    <xf numFmtId="165" fontId="8" fillId="4" borderId="40" applyAlignment="1" pivotButton="0" quotePrefix="0" xfId="0">
      <alignment horizontal="center" vertical="center"/>
    </xf>
    <xf numFmtId="164" fontId="11" fillId="4" borderId="44" applyAlignment="1" pivotButton="0" quotePrefix="0" xfId="0">
      <alignment horizontal="left" vertical="center" wrapText="1"/>
    </xf>
    <xf numFmtId="10" fontId="6" fillId="0" borderId="0" applyAlignment="1" pivotButton="0" quotePrefix="0" xfId="0">
      <alignment horizontal="general" vertical="center"/>
    </xf>
    <xf numFmtId="10" fontId="6" fillId="0" borderId="0" applyAlignment="1" pivotButton="0" quotePrefix="0" xfId="0">
      <alignment horizontal="center" vertical="center"/>
    </xf>
    <xf numFmtId="165" fontId="11" fillId="5" borderId="48" applyAlignment="1" pivotButton="0" quotePrefix="0" xfId="0">
      <alignment horizontal="center" vertical="center"/>
    </xf>
    <xf numFmtId="165" fontId="8" fillId="4" borderId="21" applyAlignment="1" pivotButton="0" quotePrefix="0" xfId="0">
      <alignment horizontal="center" vertical="center"/>
    </xf>
    <xf numFmtId="164" fontId="11" fillId="0" borderId="49" applyAlignment="1" pivotButton="0" quotePrefix="0" xfId="0">
      <alignment horizontal="general" vertical="center"/>
    </xf>
    <xf numFmtId="164" fontId="11" fillId="0" borderId="50" applyAlignment="1" pivotButton="0" quotePrefix="0" xfId="0">
      <alignment horizontal="general" vertical="center"/>
    </xf>
    <xf numFmtId="164" fontId="8" fillId="0" borderId="18" applyAlignment="1" pivotButton="0" quotePrefix="0" xfId="0">
      <alignment horizontal="left" vertical="center"/>
    </xf>
    <xf numFmtId="165" fontId="12" fillId="0" borderId="0" applyAlignment="1" pivotButton="0" quotePrefix="0" xfId="0">
      <alignment horizontal="center" vertical="center"/>
    </xf>
    <xf numFmtId="164" fontId="8" fillId="0" borderId="44" applyAlignment="1" pivotButton="0" quotePrefix="0" xfId="0">
      <alignment horizontal="left" vertical="center"/>
    </xf>
    <xf numFmtId="164" fontId="11" fillId="0" borderId="29" applyAlignment="1" pivotButton="0" quotePrefix="0" xfId="0">
      <alignment horizontal="general" vertical="center"/>
    </xf>
    <xf numFmtId="171" fontId="6" fillId="0" borderId="0" applyAlignment="1" pivotButton="0" quotePrefix="0" xfId="16">
      <alignment horizontal="general" vertical="center"/>
    </xf>
    <xf numFmtId="171" fontId="6" fillId="0" borderId="0" applyAlignment="1" pivotButton="0" quotePrefix="0" xfId="16">
      <alignment horizontal="center" vertical="center"/>
    </xf>
    <xf numFmtId="165" fontId="8" fillId="0" borderId="24" applyAlignment="1" pivotButton="0" quotePrefix="0" xfId="0">
      <alignment horizontal="center" vertical="center"/>
    </xf>
    <xf numFmtId="165" fontId="8" fillId="0" borderId="28" applyAlignment="1" pivotButton="0" quotePrefix="0" xfId="0">
      <alignment horizontal="center" vertical="center"/>
    </xf>
    <xf numFmtId="165" fontId="8" fillId="0" borderId="45" applyAlignment="1" pivotButton="0" quotePrefix="0" xfId="0">
      <alignment horizontal="center" vertical="center"/>
    </xf>
    <xf numFmtId="166" fontId="11" fillId="0" borderId="51" applyAlignment="1" pivotButton="0" quotePrefix="0" xfId="0">
      <alignment horizontal="general" vertical="center"/>
    </xf>
    <xf numFmtId="165" fontId="11" fillId="0" borderId="51" applyAlignment="1" pivotButton="0" quotePrefix="0" xfId="0">
      <alignment horizontal="general" vertical="center"/>
    </xf>
    <xf numFmtId="165" fontId="5" fillId="0" borderId="0" applyAlignment="1" pivotButton="0" quotePrefix="0" xfId="0">
      <alignment horizontal="center" vertical="center"/>
    </xf>
    <xf numFmtId="172" fontId="6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165" fontId="8" fillId="0" borderId="40" applyAlignment="1" pivotButton="0" quotePrefix="0" xfId="0">
      <alignment horizontal="center" vertical="center"/>
    </xf>
    <xf numFmtId="10" fontId="42" fillId="0" borderId="44" applyAlignment="1" pivotButton="0" quotePrefix="0" xfId="0">
      <alignment horizontal="general" vertical="center"/>
    </xf>
    <xf numFmtId="165" fontId="8" fillId="0" borderId="29" applyAlignment="1" pivotButton="0" quotePrefix="0" xfId="0">
      <alignment horizontal="center" vertical="center"/>
    </xf>
    <xf numFmtId="10" fontId="42" fillId="0" borderId="29" applyAlignment="1" pivotButton="0" quotePrefix="0" xfId="0">
      <alignment horizontal="center" vertical="center"/>
    </xf>
    <xf numFmtId="165" fontId="11" fillId="0" borderId="29" applyAlignment="1" pivotButton="0" quotePrefix="0" xfId="0">
      <alignment horizontal="left" vertical="center" indent="2"/>
    </xf>
    <xf numFmtId="165" fontId="11" fillId="0" borderId="27" applyAlignment="1" pivotButton="0" quotePrefix="0" xfId="0">
      <alignment horizontal="general" vertical="center"/>
    </xf>
    <xf numFmtId="165" fontId="11" fillId="0" borderId="45" applyAlignment="1" pivotButton="0" quotePrefix="0" xfId="0">
      <alignment horizontal="general" vertical="center"/>
    </xf>
    <xf numFmtId="165" fontId="11" fillId="0" borderId="28" applyAlignment="1" pivotButton="0" quotePrefix="0" xfId="0">
      <alignment horizontal="general" vertical="center"/>
    </xf>
    <xf numFmtId="165" fontId="11" fillId="0" borderId="41" applyAlignment="1" pivotButton="0" quotePrefix="0" xfId="0">
      <alignment horizontal="general" vertical="center"/>
    </xf>
    <xf numFmtId="165" fontId="11" fillId="0" borderId="47" applyAlignment="1" pivotButton="0" quotePrefix="0" xfId="0">
      <alignment horizontal="general" vertical="center"/>
    </xf>
    <xf numFmtId="165" fontId="8" fillId="0" borderId="52" applyAlignment="1" pivotButton="0" quotePrefix="0" xfId="0">
      <alignment horizontal="center" vertical="center"/>
    </xf>
    <xf numFmtId="10" fontId="42" fillId="0" borderId="53" applyAlignment="1" pivotButton="0" quotePrefix="0" xfId="0">
      <alignment horizontal="general" vertical="center"/>
    </xf>
    <xf numFmtId="165" fontId="8" fillId="0" borderId="54" applyAlignment="1" pivotButton="0" quotePrefix="0" xfId="0">
      <alignment horizontal="center" vertical="center"/>
    </xf>
    <xf numFmtId="10" fontId="42" fillId="0" borderId="54" applyAlignment="1" pivotButton="0" quotePrefix="0" xfId="0">
      <alignment horizontal="center" vertical="center"/>
    </xf>
    <xf numFmtId="165" fontId="11" fillId="0" borderId="54" applyAlignment="1" pivotButton="0" quotePrefix="0" xfId="0">
      <alignment horizontal="general" vertical="center"/>
    </xf>
    <xf numFmtId="171" fontId="11" fillId="5" borderId="28" applyAlignment="1" pivotButton="0" quotePrefix="0" xfId="16">
      <alignment horizontal="general" vertical="center"/>
    </xf>
    <xf numFmtId="171" fontId="11" fillId="5" borderId="41" applyAlignment="1" pivotButton="0" quotePrefix="0" xfId="16">
      <alignment horizontal="general" vertical="center"/>
    </xf>
    <xf numFmtId="171" fontId="11" fillId="0" borderId="28" applyAlignment="1" pivotButton="0" quotePrefix="0" xfId="16">
      <alignment horizontal="general" vertical="center"/>
    </xf>
    <xf numFmtId="171" fontId="11" fillId="5" borderId="44" applyAlignment="1" pivotButton="0" quotePrefix="0" xfId="16">
      <alignment horizontal="general" vertical="center"/>
    </xf>
    <xf numFmtId="165" fontId="11" fillId="0" borderId="55" applyAlignment="1" pivotButton="0" quotePrefix="0" xfId="0">
      <alignment horizontal="center" vertical="center"/>
    </xf>
    <xf numFmtId="0" fontId="0" fillId="0" borderId="51" pivotButton="0" quotePrefix="0" xfId="0"/>
    <xf numFmtId="165" fontId="8" fillId="4" borderId="56" applyAlignment="1" pivotButton="0" quotePrefix="0" xfId="0">
      <alignment horizontal="center" vertical="center"/>
    </xf>
    <xf numFmtId="165" fontId="8" fillId="0" borderId="37" applyAlignment="1" pivotButton="0" quotePrefix="0" xfId="0">
      <alignment horizontal="center" vertical="center"/>
    </xf>
    <xf numFmtId="186" fontId="11" fillId="4" borderId="44" applyAlignment="1" pivotButton="0" quotePrefix="0" xfId="0">
      <alignment horizontal="general" vertical="center"/>
    </xf>
    <xf numFmtId="174" fontId="11" fillId="4" borderId="29" applyAlignment="1" pivotButton="0" quotePrefix="0" xfId="0">
      <alignment horizontal="left" vertical="center"/>
    </xf>
    <xf numFmtId="187" fontId="11" fillId="4" borderId="19" applyAlignment="1" pivotButton="0" quotePrefix="0" xfId="0">
      <alignment horizontal="right" vertical="center"/>
    </xf>
    <xf numFmtId="0" fontId="0" fillId="0" borderId="115" pivotButton="0" quotePrefix="0" xfId="0"/>
    <xf numFmtId="165" fontId="11" fillId="4" borderId="0" applyAlignment="1" pivotButton="0" quotePrefix="0" xfId="0">
      <alignment horizontal="center" vertical="center"/>
    </xf>
    <xf numFmtId="165" fontId="41" fillId="0" borderId="28" applyAlignment="1" pivotButton="0" quotePrefix="0" xfId="0">
      <alignment horizontal="left" vertical="center"/>
    </xf>
    <xf numFmtId="166" fontId="11" fillId="4" borderId="44" applyAlignment="1" pivotButton="0" quotePrefix="0" xfId="0">
      <alignment horizontal="right" vertical="center"/>
    </xf>
    <xf numFmtId="0" fontId="11" fillId="4" borderId="29" applyAlignment="1" pivotButton="0" quotePrefix="0" xfId="0">
      <alignment horizontal="left" vertical="center"/>
    </xf>
    <xf numFmtId="176" fontId="11" fillId="4" borderId="29" applyAlignment="1" pivotButton="0" quotePrefix="0" xfId="0">
      <alignment horizontal="right" vertical="center"/>
    </xf>
    <xf numFmtId="10" fontId="11" fillId="0" borderId="0" applyAlignment="1" pivotButton="0" quotePrefix="0" xfId="0">
      <alignment horizontal="general" vertical="center"/>
    </xf>
    <xf numFmtId="171" fontId="11" fillId="0" borderId="46" applyAlignment="1" pivotButton="0" quotePrefix="0" xfId="16">
      <alignment horizontal="general" vertical="center"/>
    </xf>
    <xf numFmtId="171" fontId="11" fillId="0" borderId="20" applyAlignment="1" pivotButton="0" quotePrefix="0" xfId="0">
      <alignment horizontal="general" vertical="center"/>
    </xf>
    <xf numFmtId="165" fontId="8" fillId="0" borderId="57" applyAlignment="1" pivotButton="0" quotePrefix="0" xfId="0">
      <alignment horizontal="center" vertical="center"/>
    </xf>
    <xf numFmtId="0" fontId="0" fillId="0" borderId="99" pivotButton="0" quotePrefix="0" xfId="0"/>
    <xf numFmtId="0" fontId="0" fillId="0" borderId="57" pivotButton="0" quotePrefix="0" xfId="0"/>
    <xf numFmtId="166" fontId="11" fillId="4" borderId="44" applyAlignment="1" pivotButton="0" quotePrefix="0" xfId="0">
      <alignment horizontal="general" vertical="center"/>
    </xf>
    <xf numFmtId="165" fontId="8" fillId="5" borderId="58" applyAlignment="1" pivotButton="0" quotePrefix="0" xfId="0">
      <alignment horizontal="center" vertical="center"/>
    </xf>
    <xf numFmtId="165" fontId="11" fillId="0" borderId="59" applyAlignment="1" pivotButton="0" quotePrefix="0" xfId="0">
      <alignment horizontal="general" vertical="center"/>
    </xf>
    <xf numFmtId="165" fontId="11" fillId="0" borderId="57" applyAlignment="1" pivotButton="0" quotePrefix="0" xfId="0">
      <alignment horizontal="general" vertical="center"/>
    </xf>
    <xf numFmtId="165" fontId="11" fillId="0" borderId="60" applyAlignment="1" pivotButton="0" quotePrefix="0" xfId="16">
      <alignment horizontal="general" vertical="center"/>
    </xf>
    <xf numFmtId="165" fontId="11" fillId="0" borderId="57" applyAlignment="1" pivotButton="0" quotePrefix="0" xfId="16">
      <alignment horizontal="general" vertical="center"/>
    </xf>
    <xf numFmtId="165" fontId="11" fillId="0" borderId="60" applyAlignment="1" pivotButton="0" quotePrefix="0" xfId="0">
      <alignment horizontal="general" vertical="center"/>
    </xf>
    <xf numFmtId="165" fontId="11" fillId="0" borderId="61" applyAlignment="1" pivotButton="0" quotePrefix="0" xfId="0">
      <alignment horizontal="general" vertical="center"/>
    </xf>
    <xf numFmtId="165" fontId="11" fillId="0" borderId="62" applyAlignment="1" pivotButton="0" quotePrefix="0" xfId="0">
      <alignment horizontal="general" vertical="center"/>
    </xf>
    <xf numFmtId="172" fontId="14" fillId="0" borderId="0" applyAlignment="1" pivotButton="0" quotePrefix="0" xfId="0">
      <alignment horizontal="general" vertical="center"/>
    </xf>
    <xf numFmtId="165" fontId="15" fillId="0" borderId="0" applyAlignment="1" pivotButton="0" quotePrefix="0" xfId="0">
      <alignment horizontal="general" vertical="center"/>
    </xf>
    <xf numFmtId="175" fontId="9" fillId="4" borderId="44" applyAlignment="1" pivotButton="0" quotePrefix="0" xfId="0">
      <alignment horizontal="general" vertical="center"/>
    </xf>
    <xf numFmtId="177" fontId="9" fillId="4" borderId="29" applyAlignment="1" pivotButton="0" quotePrefix="0" xfId="0">
      <alignment horizontal="general" vertical="center" shrinkToFit="1"/>
    </xf>
    <xf numFmtId="187" fontId="11" fillId="4" borderId="29" applyAlignment="1" pivotButton="0" quotePrefix="0" xfId="0">
      <alignment horizontal="general" vertical="center" shrinkToFit="1"/>
    </xf>
    <xf numFmtId="49" fontId="11" fillId="5" borderId="63" applyAlignment="1" pivotButton="0" quotePrefix="0" xfId="0">
      <alignment horizontal="center" vertical="center"/>
    </xf>
    <xf numFmtId="171" fontId="11" fillId="0" borderId="36" applyAlignment="1" pivotButton="0" quotePrefix="0" xfId="0">
      <alignment horizontal="general" vertical="center"/>
    </xf>
    <xf numFmtId="171" fontId="11" fillId="0" borderId="56" applyAlignment="1" pivotButton="0" quotePrefix="0" xfId="0">
      <alignment horizontal="general" vertical="center"/>
    </xf>
    <xf numFmtId="171" fontId="11" fillId="0" borderId="64" applyAlignment="1" pivotButton="0" quotePrefix="0" xfId="0">
      <alignment horizontal="general" vertical="center"/>
    </xf>
    <xf numFmtId="171" fontId="11" fillId="5" borderId="35" applyAlignment="1" pivotButton="0" quotePrefix="0" xfId="0">
      <alignment horizontal="general" vertical="center"/>
    </xf>
    <xf numFmtId="167" fontId="11" fillId="5" borderId="17" applyAlignment="1" pivotButton="0" quotePrefix="0" xfId="16">
      <alignment horizontal="general" vertical="center"/>
    </xf>
    <xf numFmtId="167" fontId="11" fillId="5" borderId="37" applyAlignment="1" pivotButton="0" quotePrefix="0" xfId="16">
      <alignment horizontal="general" vertical="center"/>
    </xf>
    <xf numFmtId="167" fontId="11" fillId="5" borderId="38" applyAlignment="1" pivotButton="0" quotePrefix="0" xfId="16">
      <alignment horizontal="general" vertical="center"/>
    </xf>
    <xf numFmtId="165" fontId="11" fillId="0" borderId="65" applyAlignment="1" pivotButton="0" quotePrefix="0" xfId="0">
      <alignment horizontal="general" vertical="center"/>
    </xf>
    <xf numFmtId="165" fontId="11" fillId="0" borderId="64" applyAlignment="1" pivotButton="0" quotePrefix="0" xfId="0">
      <alignment horizontal="general" vertical="center"/>
    </xf>
    <xf numFmtId="165" fontId="11" fillId="0" borderId="66" applyAlignment="1" pivotButton="0" quotePrefix="0" xfId="0">
      <alignment horizontal="general" vertical="center"/>
    </xf>
    <xf numFmtId="165" fontId="11" fillId="0" borderId="36" applyAlignment="1" pivotButton="0" quotePrefix="0" xfId="0">
      <alignment horizontal="general" vertical="center"/>
    </xf>
    <xf numFmtId="171" fontId="11" fillId="0" borderId="66" applyAlignment="1" pivotButton="0" quotePrefix="0" xfId="16">
      <alignment horizontal="general" vertical="center"/>
    </xf>
    <xf numFmtId="165" fontId="16" fillId="0" borderId="19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187" fontId="9" fillId="0" borderId="29" applyAlignment="1" pivotButton="0" quotePrefix="0" xfId="0">
      <alignment horizontal="right" vertical="center"/>
    </xf>
    <xf numFmtId="171" fontId="11" fillId="0" borderId="28" applyAlignment="1" pivotButton="0" quotePrefix="0" xfId="0">
      <alignment horizontal="general" vertical="center"/>
    </xf>
    <xf numFmtId="171" fontId="11" fillId="5" borderId="42" applyAlignment="1" pivotButton="0" quotePrefix="0" xfId="0">
      <alignment horizontal="general" vertical="center"/>
    </xf>
    <xf numFmtId="167" fontId="11" fillId="5" borderId="40" applyAlignment="1" pivotButton="0" quotePrefix="0" xfId="16">
      <alignment horizontal="general" vertical="center"/>
    </xf>
    <xf numFmtId="167" fontId="11" fillId="5" borderId="28" applyAlignment="1" pivotButton="0" quotePrefix="0" xfId="16">
      <alignment horizontal="general" vertical="center"/>
    </xf>
    <xf numFmtId="167" fontId="11" fillId="5" borderId="35" applyAlignment="1" pivotButton="0" quotePrefix="0" xfId="16">
      <alignment horizontal="general" vertical="center"/>
    </xf>
    <xf numFmtId="165" fontId="11" fillId="0" borderId="67" applyAlignment="1" pivotButton="0" quotePrefix="0" xfId="0">
      <alignment horizontal="general" vertical="center"/>
    </xf>
    <xf numFmtId="165" fontId="11" fillId="0" borderId="46" applyAlignment="1" pivotButton="0" quotePrefix="0" xfId="0">
      <alignment horizontal="general" vertical="center"/>
    </xf>
    <xf numFmtId="165" fontId="14" fillId="0" borderId="0" applyAlignment="1" pivotButton="0" quotePrefix="0" xfId="0">
      <alignment horizontal="center" vertical="center"/>
    </xf>
    <xf numFmtId="165" fontId="11" fillId="5" borderId="26" applyAlignment="1" pivotButton="0" quotePrefix="0" xfId="0">
      <alignment horizontal="general" vertical="center"/>
    </xf>
    <xf numFmtId="165" fontId="8" fillId="0" borderId="53" applyAlignment="1" pivotButton="0" quotePrefix="0" xfId="0">
      <alignment horizontal="center" vertical="center"/>
    </xf>
    <xf numFmtId="187" fontId="9" fillId="0" borderId="0" applyAlignment="1" pivotButton="0" quotePrefix="0" xfId="0">
      <alignment horizontal="general" vertical="center"/>
    </xf>
    <xf numFmtId="171" fontId="11" fillId="5" borderId="42" applyAlignment="1" pivotButton="0" quotePrefix="0" xfId="16">
      <alignment horizontal="general" vertical="center"/>
    </xf>
    <xf numFmtId="167" fontId="11" fillId="0" borderId="67" applyAlignment="1" pivotButton="0" quotePrefix="0" xfId="16">
      <alignment horizontal="general" vertical="center"/>
    </xf>
    <xf numFmtId="167" fontId="11" fillId="0" borderId="47" applyAlignment="1" pivotButton="0" quotePrefix="0" xfId="16">
      <alignment horizontal="general" vertical="center"/>
    </xf>
    <xf numFmtId="165" fontId="11" fillId="5" borderId="48" applyAlignment="1" pivotButton="0" quotePrefix="0" xfId="0">
      <alignment horizontal="general" vertical="center"/>
    </xf>
    <xf numFmtId="165" fontId="11" fillId="0" borderId="50" applyAlignment="1" pivotButton="0" quotePrefix="0" xfId="0">
      <alignment horizontal="general" vertical="center"/>
    </xf>
    <xf numFmtId="165" fontId="11" fillId="0" borderId="68" applyAlignment="1" pivotButton="0" quotePrefix="0" xfId="0">
      <alignment horizontal="center" vertical="center"/>
    </xf>
    <xf numFmtId="173" fontId="9" fillId="0" borderId="50" applyAlignment="1" pivotButton="0" quotePrefix="0" xfId="0">
      <alignment horizontal="general" vertical="center"/>
    </xf>
    <xf numFmtId="171" fontId="11" fillId="0" borderId="67" applyAlignment="1" pivotButton="0" quotePrefix="0" xfId="16">
      <alignment horizontal="general" vertical="center"/>
    </xf>
    <xf numFmtId="171" fontId="11" fillId="0" borderId="52" applyAlignment="1" pivotButton="0" quotePrefix="0" xfId="16">
      <alignment horizontal="general" vertical="center"/>
    </xf>
    <xf numFmtId="171" fontId="11" fillId="0" borderId="45" applyAlignment="1" pivotButton="0" quotePrefix="0" xfId="16">
      <alignment horizontal="general" vertical="center"/>
    </xf>
    <xf numFmtId="171" fontId="11" fillId="0" borderId="53" applyAlignment="1" pivotButton="0" quotePrefix="0" xfId="16">
      <alignment horizontal="general" vertical="center"/>
    </xf>
    <xf numFmtId="171" fontId="11" fillId="5" borderId="46" applyAlignment="1" pivotButton="0" quotePrefix="0" xfId="16">
      <alignment horizontal="general" vertical="center"/>
    </xf>
    <xf numFmtId="171" fontId="11" fillId="5" borderId="69" applyAlignment="1" pivotButton="0" quotePrefix="0" xfId="16">
      <alignment horizontal="general" vertical="center"/>
    </xf>
    <xf numFmtId="167" fontId="11" fillId="5" borderId="52" applyAlignment="1" pivotButton="0" quotePrefix="0" xfId="16">
      <alignment horizontal="general" vertical="center"/>
    </xf>
    <xf numFmtId="167" fontId="11" fillId="5" borderId="45" applyAlignment="1" pivotButton="0" quotePrefix="0" xfId="16">
      <alignment horizontal="general" vertical="center"/>
    </xf>
    <xf numFmtId="167" fontId="11" fillId="5" borderId="46" applyAlignment="1" pivotButton="0" quotePrefix="0" xfId="16">
      <alignment horizontal="general" vertical="center"/>
    </xf>
    <xf numFmtId="167" fontId="11" fillId="0" borderId="70" applyAlignment="1" pivotButton="0" quotePrefix="0" xfId="16">
      <alignment horizontal="general" vertical="center"/>
    </xf>
    <xf numFmtId="180" fontId="11" fillId="4" borderId="19" applyAlignment="1" pivotButton="0" quotePrefix="0" xfId="0">
      <alignment horizontal="general" vertical="center"/>
    </xf>
    <xf numFmtId="10" fontId="42" fillId="0" borderId="19" applyAlignment="1" pivotButton="0" quotePrefix="0" xfId="0">
      <alignment horizontal="left" vertical="center"/>
    </xf>
    <xf numFmtId="166" fontId="11" fillId="4" borderId="19" applyAlignment="1" pivotButton="0" quotePrefix="0" xfId="0">
      <alignment horizontal="general" vertical="center"/>
    </xf>
    <xf numFmtId="171" fontId="11" fillId="0" borderId="44" applyAlignment="1" pivotButton="0" quotePrefix="0" xfId="16">
      <alignment horizontal="general" vertical="center"/>
    </xf>
    <xf numFmtId="171" fontId="11" fillId="5" borderId="47" applyAlignment="1" pivotButton="0" quotePrefix="0" xfId="16">
      <alignment horizontal="general" vertical="center"/>
    </xf>
    <xf numFmtId="167" fontId="11" fillId="5" borderId="41" applyAlignment="1" pivotButton="0" quotePrefix="0" xfId="16">
      <alignment horizontal="general" vertical="center"/>
    </xf>
    <xf numFmtId="165" fontId="18" fillId="0" borderId="0" applyAlignment="1" pivotButton="0" quotePrefix="0" xfId="0">
      <alignment horizontal="general" vertical="center"/>
    </xf>
    <xf numFmtId="165" fontId="11" fillId="4" borderId="32" applyAlignment="1" pivotButton="0" quotePrefix="0" xfId="0">
      <alignment horizontal="center" vertical="center"/>
    </xf>
    <xf numFmtId="180" fontId="41" fillId="4" borderId="43" applyAlignment="1" pivotButton="0" quotePrefix="0" xfId="0">
      <alignment horizontal="left" vertical="center"/>
    </xf>
    <xf numFmtId="10" fontId="11" fillId="4" borderId="29" applyAlignment="1" pivotButton="0" quotePrefix="0" xfId="0">
      <alignment horizontal="left" vertical="center"/>
    </xf>
    <xf numFmtId="166" fontId="11" fillId="4" borderId="29" applyAlignment="1" pivotButton="0" quotePrefix="0" xfId="0">
      <alignment horizontal="general" vertical="center"/>
    </xf>
    <xf numFmtId="165" fontId="11" fillId="4" borderId="29" applyAlignment="1" pivotButton="0" quotePrefix="0" xfId="0">
      <alignment horizontal="general" vertical="center"/>
    </xf>
    <xf numFmtId="171" fontId="11" fillId="0" borderId="24" applyAlignment="1" pivotButton="0" quotePrefix="0" xfId="16">
      <alignment horizontal="general" vertical="center"/>
    </xf>
    <xf numFmtId="167" fontId="11" fillId="0" borderId="71" applyAlignment="1" pivotButton="0" quotePrefix="0" xfId="16">
      <alignment horizontal="general" vertical="center"/>
    </xf>
    <xf numFmtId="167" fontId="11" fillId="0" borderId="72" applyAlignment="1" pivotButton="0" quotePrefix="0" xfId="16">
      <alignment horizontal="general" vertical="center"/>
    </xf>
    <xf numFmtId="165" fontId="11" fillId="5" borderId="73" applyAlignment="1" pivotButton="0" quotePrefix="0" xfId="0">
      <alignment horizontal="center" vertical="center"/>
    </xf>
    <xf numFmtId="180" fontId="11" fillId="4" borderId="29" applyAlignment="1" pivotButton="0" quotePrefix="0" xfId="0">
      <alignment horizontal="general" vertical="center"/>
    </xf>
    <xf numFmtId="10" fontId="42" fillId="4" borderId="43" applyAlignment="1" pivotButton="0" quotePrefix="0" xfId="0">
      <alignment horizontal="left" vertical="center"/>
    </xf>
    <xf numFmtId="166" fontId="11" fillId="4" borderId="43" applyAlignment="1" pivotButton="0" quotePrefix="0" xfId="0">
      <alignment horizontal="general" vertical="center"/>
    </xf>
    <xf numFmtId="165" fontId="11" fillId="4" borderId="43" applyAlignment="1" pivotButton="0" quotePrefix="0" xfId="0">
      <alignment horizontal="left" vertical="center"/>
    </xf>
    <xf numFmtId="165" fontId="11" fillId="0" borderId="74" applyAlignment="1" pivotButton="0" quotePrefix="0" xfId="0">
      <alignment horizontal="general" vertical="center"/>
    </xf>
    <xf numFmtId="167" fontId="11" fillId="0" borderId="57" applyAlignment="1" pivotButton="0" quotePrefix="0" xfId="16">
      <alignment horizontal="general" vertical="center"/>
    </xf>
    <xf numFmtId="167" fontId="11" fillId="0" borderId="60" applyAlignment="1" pivotButton="0" quotePrefix="0" xfId="16">
      <alignment horizontal="general" vertical="center"/>
    </xf>
    <xf numFmtId="167" fontId="11" fillId="0" borderId="61" applyAlignment="1" pivotButton="0" quotePrefix="0" xfId="16">
      <alignment horizontal="general" vertical="center"/>
    </xf>
    <xf numFmtId="165" fontId="14" fillId="0" borderId="0" applyAlignment="1" pivotButton="0" quotePrefix="0" xfId="0">
      <alignment horizontal="general" vertical="center"/>
    </xf>
    <xf numFmtId="165" fontId="8" fillId="5" borderId="26" applyAlignment="1" pivotButton="0" quotePrefix="0" xfId="0">
      <alignment horizontal="center" vertical="center"/>
    </xf>
    <xf numFmtId="166" fontId="11" fillId="4" borderId="29" applyAlignment="1" pivotButton="0" quotePrefix="0" xfId="0">
      <alignment horizontal="right" vertical="center"/>
    </xf>
    <xf numFmtId="165" fontId="11" fillId="0" borderId="56" applyAlignment="1" pivotButton="0" quotePrefix="0" xfId="0">
      <alignment horizontal="general" vertical="center"/>
    </xf>
    <xf numFmtId="165" fontId="11" fillId="0" borderId="75" applyAlignment="1" pivotButton="0" quotePrefix="0" xfId="0">
      <alignment horizontal="general" vertical="center"/>
    </xf>
    <xf numFmtId="165" fontId="11" fillId="0" borderId="76" applyAlignment="1" pivotButton="0" quotePrefix="0" xfId="0">
      <alignment horizontal="general" vertical="center"/>
    </xf>
    <xf numFmtId="167" fontId="11" fillId="0" borderId="56" applyAlignment="1" pivotButton="0" quotePrefix="0" xfId="16">
      <alignment horizontal="general" vertical="center"/>
    </xf>
    <xf numFmtId="167" fontId="11" fillId="0" borderId="64" applyAlignment="1" pivotButton="0" quotePrefix="0" xfId="16">
      <alignment horizontal="general" vertical="center"/>
    </xf>
    <xf numFmtId="167" fontId="11" fillId="0" borderId="66" applyAlignment="1" pivotButton="0" quotePrefix="0" xfId="16">
      <alignment horizontal="general" vertical="center"/>
    </xf>
    <xf numFmtId="165" fontId="11" fillId="0" borderId="77" applyAlignment="1" pivotButton="0" quotePrefix="0" xfId="0">
      <alignment horizontal="center" vertical="center"/>
    </xf>
    <xf numFmtId="0" fontId="0" fillId="0" borderId="114" pivotButton="0" quotePrefix="0" xfId="0"/>
    <xf numFmtId="0" fontId="0" fillId="0" borderId="56" pivotButton="0" quotePrefix="0" xfId="0"/>
    <xf numFmtId="165" fontId="11" fillId="5" borderId="78" applyAlignment="1" pivotButton="0" quotePrefix="0" xfId="0">
      <alignment horizontal="center" vertical="center"/>
    </xf>
    <xf numFmtId="165" fontId="8" fillId="4" borderId="79" applyAlignment="1" pivotButton="0" quotePrefix="0" xfId="0">
      <alignment horizontal="center" vertical="center"/>
    </xf>
    <xf numFmtId="180" fontId="11" fillId="4" borderId="80" applyAlignment="1" pivotButton="0" quotePrefix="0" xfId="0">
      <alignment horizontal="general" vertical="center"/>
    </xf>
    <xf numFmtId="10" fontId="11" fillId="4" borderId="80" applyAlignment="1" pivotButton="0" quotePrefix="0" xfId="0">
      <alignment horizontal="left" vertical="center"/>
    </xf>
    <xf numFmtId="166" fontId="11" fillId="4" borderId="80" applyAlignment="1" pivotButton="0" quotePrefix="0" xfId="0">
      <alignment horizontal="general" vertical="center"/>
    </xf>
    <xf numFmtId="165" fontId="11" fillId="4" borderId="80" applyAlignment="1" pivotButton="0" quotePrefix="0" xfId="0">
      <alignment horizontal="general" vertical="center"/>
    </xf>
    <xf numFmtId="168" fontId="11" fillId="0" borderId="81" applyAlignment="1" pivotButton="0" quotePrefix="0" xfId="0">
      <alignment horizontal="general" vertical="center"/>
    </xf>
    <xf numFmtId="168" fontId="11" fillId="0" borderId="82" applyAlignment="1" pivotButton="0" quotePrefix="0" xfId="0">
      <alignment horizontal="general" vertical="center"/>
    </xf>
    <xf numFmtId="168" fontId="11" fillId="0" borderId="83" applyAlignment="1" pivotButton="0" quotePrefix="0" xfId="0">
      <alignment horizontal="general" vertical="center"/>
    </xf>
    <xf numFmtId="168" fontId="11" fillId="0" borderId="84" applyAlignment="1" pivotButton="0" quotePrefix="0" xfId="0">
      <alignment horizontal="general" vertical="center"/>
    </xf>
    <xf numFmtId="168" fontId="11" fillId="0" borderId="85" applyAlignment="1" pivotButton="0" quotePrefix="0" xfId="0">
      <alignment horizontal="general" vertical="center"/>
    </xf>
    <xf numFmtId="168" fontId="11" fillId="0" borderId="86" applyAlignment="1" pivotButton="0" quotePrefix="0" xfId="0">
      <alignment horizontal="general" vertical="center"/>
    </xf>
    <xf numFmtId="167" fontId="11" fillId="0" borderId="82" applyAlignment="1" pivotButton="0" quotePrefix="0" xfId="16">
      <alignment horizontal="general" vertical="center"/>
    </xf>
    <xf numFmtId="167" fontId="11" fillId="0" borderId="83" applyAlignment="1" pivotButton="0" quotePrefix="0" xfId="16">
      <alignment horizontal="general" vertical="center"/>
    </xf>
    <xf numFmtId="167" fontId="11" fillId="0" borderId="85" applyAlignment="1" pivotButton="0" quotePrefix="0" xfId="16">
      <alignment horizontal="general" vertical="center"/>
    </xf>
    <xf numFmtId="165" fontId="11" fillId="0" borderId="86" applyAlignment="1" pivotButton="0" quotePrefix="0" xfId="0">
      <alignment horizontal="general" vertical="center"/>
    </xf>
    <xf numFmtId="0" fontId="0" fillId="0" borderId="82" pivotButton="0" quotePrefix="0" xfId="0"/>
    <xf numFmtId="165" fontId="19" fillId="0" borderId="0" applyAlignment="1" pivotButton="0" quotePrefix="0" xfId="0">
      <alignment horizontal="general" vertical="center"/>
    </xf>
    <xf numFmtId="165" fontId="10" fillId="0" borderId="2" applyAlignment="1" pivotButton="0" quotePrefix="0" xfId="0">
      <alignment horizontal="general" vertical="center"/>
    </xf>
    <xf numFmtId="165" fontId="11" fillId="0" borderId="2" applyAlignment="1" pivotButton="0" quotePrefix="0" xfId="0">
      <alignment horizontal="general" vertical="center"/>
    </xf>
    <xf numFmtId="181" fontId="11" fillId="0" borderId="2" applyAlignment="1" pivotButton="0" quotePrefix="0" xfId="0">
      <alignment horizontal="general" vertical="center"/>
    </xf>
    <xf numFmtId="165" fontId="8" fillId="0" borderId="2" applyAlignment="1" pivotButton="0" quotePrefix="0" xfId="0">
      <alignment horizontal="right" vertical="center"/>
    </xf>
    <xf numFmtId="165" fontId="8" fillId="0" borderId="3" applyAlignment="1" pivotButton="0" quotePrefix="0" xfId="0">
      <alignment horizontal="center" vertical="center"/>
    </xf>
    <xf numFmtId="165" fontId="8" fillId="0" borderId="87" applyAlignment="1" pivotButton="0" quotePrefix="0" xfId="0">
      <alignment horizontal="center" vertical="center"/>
    </xf>
    <xf numFmtId="165" fontId="8" fillId="0" borderId="13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11" fillId="0" borderId="5" applyAlignment="1" pivotButton="0" quotePrefix="0" xfId="0">
      <alignment horizontal="center" vertical="center"/>
    </xf>
    <xf numFmtId="165" fontId="8" fillId="0" borderId="88" applyAlignment="1" pivotButton="0" quotePrefix="0" xfId="0">
      <alignment horizontal="center" vertical="center"/>
    </xf>
    <xf numFmtId="165" fontId="8" fillId="0" borderId="73" applyAlignment="1" pivotButton="0" quotePrefix="0" xfId="0">
      <alignment horizontal="center" vertical="center"/>
    </xf>
    <xf numFmtId="165" fontId="11" fillId="0" borderId="32" applyAlignment="1" pivotButton="0" quotePrefix="0" xfId="0">
      <alignment horizontal="general" vertical="center"/>
    </xf>
    <xf numFmtId="181" fontId="11" fillId="0" borderId="34" applyAlignment="1" pivotButton="0" quotePrefix="0" xfId="0">
      <alignment horizontal="general" vertical="center"/>
    </xf>
    <xf numFmtId="165" fontId="11" fillId="0" borderId="34" applyAlignment="1" pivotButton="0" quotePrefix="0" xfId="0">
      <alignment horizontal="general" vertical="center"/>
    </xf>
    <xf numFmtId="181" fontId="11" fillId="0" borderId="35" applyAlignment="1" pivotButton="0" quotePrefix="0" xfId="0">
      <alignment horizontal="general" vertical="center"/>
    </xf>
    <xf numFmtId="181" fontId="11" fillId="0" borderId="43" applyAlignment="1" pivotButton="0" quotePrefix="0" xfId="0">
      <alignment horizontal="general" vertical="center"/>
    </xf>
    <xf numFmtId="165" fontId="11" fillId="0" borderId="43" applyAlignment="1" pivotButton="0" quotePrefix="0" xfId="0">
      <alignment horizontal="general" vertical="center"/>
    </xf>
    <xf numFmtId="10" fontId="11" fillId="0" borderId="32" applyAlignment="1" pivotButton="0" quotePrefix="0" xfId="0">
      <alignment horizontal="general" vertical="center"/>
    </xf>
    <xf numFmtId="165" fontId="11" fillId="0" borderId="33" applyAlignment="1" pivotButton="0" quotePrefix="0" xfId="0">
      <alignment horizontal="general" vertical="center"/>
    </xf>
    <xf numFmtId="165" fontId="8" fillId="0" borderId="89" applyAlignment="1" pivotButton="0" quotePrefix="0" xfId="0">
      <alignment horizontal="center" vertical="center"/>
    </xf>
    <xf numFmtId="165" fontId="11" fillId="0" borderId="21" applyAlignment="1" pivotButton="0" quotePrefix="0" xfId="0">
      <alignment horizontal="general" vertical="center"/>
    </xf>
    <xf numFmtId="181" fontId="11" fillId="0" borderId="22" applyAlignment="1" pivotButton="0" quotePrefix="0" xfId="0">
      <alignment horizontal="general" vertical="center"/>
    </xf>
    <xf numFmtId="165" fontId="11" fillId="0" borderId="22" applyAlignment="1" pivotButton="0" quotePrefix="0" xfId="0">
      <alignment horizontal="general" vertical="center"/>
    </xf>
    <xf numFmtId="181" fontId="11" fillId="0" borderId="23" applyAlignment="1" pivotButton="0" quotePrefix="0" xfId="0">
      <alignment horizontal="general" vertical="center"/>
    </xf>
    <xf numFmtId="181" fontId="11" fillId="0" borderId="54" applyAlignment="1" pivotButton="0" quotePrefix="0" xfId="0">
      <alignment horizontal="general" vertical="center"/>
    </xf>
    <xf numFmtId="10" fontId="11" fillId="0" borderId="21" applyAlignment="1" pivotButton="0" quotePrefix="0" xfId="0">
      <alignment horizontal="general" vertical="center"/>
    </xf>
    <xf numFmtId="181" fontId="11" fillId="0" borderId="0" applyAlignment="1" pivotButton="0" quotePrefix="0" xfId="0">
      <alignment horizontal="general" vertical="center"/>
    </xf>
    <xf numFmtId="181" fontId="6" fillId="0" borderId="0" applyAlignment="1" pivotButton="0" quotePrefix="0" xfId="0">
      <alignment horizontal="general" vertical="center"/>
    </xf>
    <xf numFmtId="181" fontId="6" fillId="0" borderId="0" applyAlignment="1" pivotButton="0" quotePrefix="0" xfId="0">
      <alignment horizontal="center" vertical="center"/>
    </xf>
    <xf numFmtId="165" fontId="8" fillId="0" borderId="78" applyAlignment="1" pivotButton="0" quotePrefix="0" xfId="0">
      <alignment horizontal="center" vertical="center"/>
    </xf>
    <xf numFmtId="165" fontId="11" fillId="0" borderId="82" applyAlignment="1" pivotButton="0" quotePrefix="0" xfId="0">
      <alignment horizontal="general" vertical="center"/>
    </xf>
    <xf numFmtId="181" fontId="11" fillId="0" borderId="83" applyAlignment="1" pivotButton="0" quotePrefix="0" xfId="0">
      <alignment horizontal="general" vertical="center"/>
    </xf>
    <xf numFmtId="165" fontId="11" fillId="0" borderId="90" applyAlignment="1" pivotButton="0" quotePrefix="0" xfId="0">
      <alignment horizontal="general" vertical="center"/>
    </xf>
    <xf numFmtId="165" fontId="11" fillId="0" borderId="83" applyAlignment="1" pivotButton="0" quotePrefix="0" xfId="0">
      <alignment horizontal="general" vertical="center"/>
    </xf>
    <xf numFmtId="181" fontId="11" fillId="0" borderId="85" applyAlignment="1" pivotButton="0" quotePrefix="0" xfId="0">
      <alignment horizontal="general" vertical="center"/>
    </xf>
    <xf numFmtId="165" fontId="11" fillId="0" borderId="82" applyAlignment="1" pivotButton="0" quotePrefix="0" xfId="0">
      <alignment horizontal="right" vertical="center"/>
    </xf>
    <xf numFmtId="165" fontId="11" fillId="0" borderId="2" applyAlignment="1" pivotButton="0" quotePrefix="0" xfId="0">
      <alignment horizontal="right" vertical="center"/>
    </xf>
    <xf numFmtId="10" fontId="11" fillId="0" borderId="82" applyAlignment="1" pivotButton="0" quotePrefix="0" xfId="19">
      <alignment horizontal="general" vertical="center"/>
    </xf>
    <xf numFmtId="165" fontId="11" fillId="0" borderId="91" applyAlignment="1" pivotButton="0" quotePrefix="0" xfId="19">
      <alignment horizontal="right" vertical="center"/>
    </xf>
    <xf numFmtId="181" fontId="11" fillId="0" borderId="0" applyAlignment="1" pivotButton="0" quotePrefix="0" xfId="0">
      <alignment horizontal="center" vertical="center"/>
    </xf>
    <xf numFmtId="165" fontId="10" fillId="0" borderId="2" applyAlignment="1" pivotButton="0" quotePrefix="0" xfId="0">
      <alignment horizontal="left" vertical="center"/>
    </xf>
    <xf numFmtId="165" fontId="11" fillId="0" borderId="0" applyAlignment="1" pivotButton="0" quotePrefix="0" xfId="0">
      <alignment horizontal="right" vertical="center"/>
    </xf>
    <xf numFmtId="165" fontId="20" fillId="0" borderId="0" applyAlignment="1" pivotButton="0" quotePrefix="0" xfId="0">
      <alignment horizontal="center" vertical="center"/>
    </xf>
    <xf numFmtId="165" fontId="8" fillId="0" borderId="92" applyAlignment="1" pivotButton="0" quotePrefix="0" xfId="0">
      <alignment horizontal="center" vertical="center"/>
    </xf>
    <xf numFmtId="165" fontId="8" fillId="0" borderId="93" applyAlignment="1" pivotButton="0" quotePrefix="0" xfId="0">
      <alignment horizontal="center" vertical="center"/>
    </xf>
    <xf numFmtId="165" fontId="8" fillId="0" borderId="15" applyAlignment="1" pivotButton="0" quotePrefix="0" xfId="0">
      <alignment horizontal="center" vertical="center" wrapText="1"/>
    </xf>
    <xf numFmtId="0" fontId="8" fillId="0" borderId="94" applyAlignment="1" pivotButton="0" quotePrefix="0" xfId="0">
      <alignment horizontal="center" vertical="center"/>
    </xf>
    <xf numFmtId="0" fontId="8" fillId="0" borderId="93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11" fillId="0" borderId="95" applyAlignment="1" pivotButton="0" quotePrefix="0" xfId="0">
      <alignment horizontal="general" vertical="center"/>
    </xf>
    <xf numFmtId="165" fontId="11" fillId="0" borderId="10" applyAlignment="1" pivotButton="0" quotePrefix="0" xfId="0">
      <alignment horizontal="general" vertical="center"/>
    </xf>
    <xf numFmtId="165" fontId="11" fillId="0" borderId="95" applyAlignment="1" pivotButton="0" quotePrefix="0" xfId="0">
      <alignment horizontal="general" vertical="center"/>
    </xf>
    <xf numFmtId="165" fontId="8" fillId="0" borderId="96" applyAlignment="1" pivotButton="0" quotePrefix="0" xfId="0">
      <alignment horizontal="center" vertical="center"/>
    </xf>
    <xf numFmtId="10" fontId="8" fillId="0" borderId="15" applyAlignment="1" pivotButton="0" quotePrefix="0" xfId="0">
      <alignment horizontal="center" vertical="center" wrapText="1"/>
    </xf>
    <xf numFmtId="10" fontId="8" fillId="0" borderId="4" applyAlignment="1" pivotButton="0" quotePrefix="0" xfId="0">
      <alignment horizontal="center" vertical="center" wrapText="1"/>
    </xf>
    <xf numFmtId="10" fontId="1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0" borderId="97" applyAlignment="1" pivotButton="0" quotePrefix="0" xfId="0">
      <alignment horizontal="center" vertical="center"/>
    </xf>
    <xf numFmtId="0" fontId="8" fillId="0" borderId="98" applyAlignment="1" pivotButton="0" quotePrefix="0" xfId="0">
      <alignment horizontal="center" vertical="center"/>
    </xf>
    <xf numFmtId="0" fontId="11" fillId="0" borderId="89" applyAlignment="1" pivotButton="0" quotePrefix="0" xfId="0">
      <alignment horizontal="general" vertical="center"/>
    </xf>
    <xf numFmtId="181" fontId="11" fillId="0" borderId="89" applyAlignment="1" pivotButton="0" quotePrefix="0" xfId="0">
      <alignment horizontal="general" vertical="center"/>
    </xf>
    <xf numFmtId="10" fontId="11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11" fillId="0" borderId="58" applyAlignment="1" pivotButton="0" quotePrefix="0" xfId="0">
      <alignment horizontal="center" vertical="center"/>
    </xf>
    <xf numFmtId="164" fontId="11" fillId="0" borderId="57" applyAlignment="1" pivotButton="0" quotePrefix="0" xfId="0">
      <alignment horizontal="center" vertical="center"/>
    </xf>
    <xf numFmtId="165" fontId="11" fillId="0" borderId="60" applyAlignment="1" pivotButton="0" quotePrefix="0" xfId="0">
      <alignment horizontal="right" vertical="center"/>
    </xf>
    <xf numFmtId="182" fontId="11" fillId="0" borderId="61" applyAlignment="1" pivotButton="0" quotePrefix="0" xfId="19">
      <alignment horizontal="general" vertical="center"/>
    </xf>
    <xf numFmtId="165" fontId="11" fillId="0" borderId="57" applyAlignment="1" pivotButton="0" quotePrefix="0" xfId="0">
      <alignment horizontal="right" vertical="center"/>
    </xf>
    <xf numFmtId="181" fontId="11" fillId="0" borderId="74" applyAlignment="1" pivotButton="0" quotePrefix="0" xfId="0">
      <alignment horizontal="general" vertical="center"/>
    </xf>
    <xf numFmtId="165" fontId="11" fillId="0" borderId="59" applyAlignment="1" pivotButton="0" quotePrefix="0" xfId="0">
      <alignment horizontal="right" vertical="center"/>
    </xf>
    <xf numFmtId="181" fontId="11" fillId="0" borderId="61" applyAlignment="1" pivotButton="0" quotePrefix="0" xfId="0">
      <alignment horizontal="general" vertical="center"/>
    </xf>
    <xf numFmtId="0" fontId="11" fillId="0" borderId="62" applyAlignment="1" pivotButton="0" quotePrefix="0" xfId="0">
      <alignment horizontal="center" vertical="center"/>
    </xf>
    <xf numFmtId="0" fontId="11" fillId="0" borderId="57" applyAlignment="1" pivotButton="0" quotePrefix="0" xfId="0">
      <alignment horizontal="right" vertical="center"/>
    </xf>
    <xf numFmtId="0" fontId="11" fillId="0" borderId="57" applyAlignment="1" pivotButton="0" quotePrefix="0" xfId="0">
      <alignment horizontal="general" vertical="center"/>
    </xf>
    <xf numFmtId="165" fontId="11" fillId="0" borderId="99" applyAlignment="1" pivotButton="0" quotePrefix="0" xfId="0">
      <alignment horizontal="right" vertical="center"/>
    </xf>
    <xf numFmtId="165" fontId="11" fillId="0" borderId="62" applyAlignment="1" pivotButton="0" quotePrefix="0" xfId="0">
      <alignment horizontal="right" vertical="center"/>
    </xf>
    <xf numFmtId="183" fontId="11" fillId="0" borderId="59" applyAlignment="1" pivotButton="0" quotePrefix="0" xfId="0">
      <alignment horizontal="general" vertical="center"/>
    </xf>
    <xf numFmtId="184" fontId="11" fillId="0" borderId="10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171" fontId="11" fillId="0" borderId="99" applyAlignment="1" pivotButton="0" quotePrefix="0" xfId="16">
      <alignment horizontal="right" vertical="center"/>
    </xf>
    <xf numFmtId="165" fontId="11" fillId="0" borderId="62" applyAlignment="1" pivotButton="0" quotePrefix="0" xfId="16">
      <alignment horizontal="right" vertical="center"/>
    </xf>
    <xf numFmtId="184" fontId="11" fillId="0" borderId="0" applyAlignment="1" pivotButton="0" quotePrefix="0" xfId="0">
      <alignment horizontal="general" vertical="center"/>
    </xf>
    <xf numFmtId="167" fontId="11" fillId="0" borderId="99" applyAlignment="1" pivotButton="0" quotePrefix="0" xfId="16">
      <alignment horizontal="right" vertical="center"/>
    </xf>
    <xf numFmtId="167" fontId="11" fillId="0" borderId="0" applyAlignment="1" pivotButton="0" quotePrefix="0" xfId="16">
      <alignment horizontal="general" vertical="center"/>
    </xf>
    <xf numFmtId="167" fontId="11" fillId="0" borderId="100" applyAlignment="1" pivotButton="0" quotePrefix="0" xfId="16">
      <alignment horizontal="general" vertical="center"/>
    </xf>
    <xf numFmtId="0" fontId="11" fillId="0" borderId="99" applyAlignment="1" pivotButton="0" quotePrefix="0" xfId="0">
      <alignment horizontal="right" vertical="center"/>
    </xf>
    <xf numFmtId="167" fontId="11" fillId="0" borderId="57" applyAlignment="1" pivotButton="0" quotePrefix="0" xfId="16">
      <alignment horizontal="right" vertical="center"/>
    </xf>
    <xf numFmtId="167" fontId="11" fillId="0" borderId="74" applyAlignment="1" pivotButton="0" quotePrefix="0" xfId="16">
      <alignment horizontal="general" vertical="center"/>
    </xf>
    <xf numFmtId="167" fontId="11" fillId="0" borderId="59" applyAlignment="1" pivotButton="0" quotePrefix="0" xfId="16">
      <alignment horizontal="right" vertical="center"/>
    </xf>
    <xf numFmtId="167" fontId="11" fillId="0" borderId="59" applyAlignment="1" pivotButton="0" quotePrefix="0" xfId="16">
      <alignment horizontal="general" vertical="center"/>
    </xf>
    <xf numFmtId="165" fontId="20" fillId="0" borderId="0" applyAlignment="1" pivotButton="0" quotePrefix="0" xfId="0">
      <alignment horizontal="general" vertical="center"/>
    </xf>
    <xf numFmtId="165" fontId="8" fillId="0" borderId="101" applyAlignment="1" pivotButton="0" quotePrefix="0" xfId="0">
      <alignment horizontal="center" vertical="center"/>
    </xf>
    <xf numFmtId="164" fontId="11" fillId="0" borderId="77" applyAlignment="1" pivotButton="0" quotePrefix="0" xfId="0">
      <alignment horizontal="center" vertical="center"/>
    </xf>
    <xf numFmtId="165" fontId="11" fillId="0" borderId="90" applyAlignment="1" pivotButton="0" quotePrefix="0" xfId="0">
      <alignment horizontal="right" vertical="center"/>
    </xf>
    <xf numFmtId="182" fontId="11" fillId="0" borderId="102" applyAlignment="1" pivotButton="0" quotePrefix="0" xfId="19">
      <alignment horizontal="general" vertical="center"/>
    </xf>
    <xf numFmtId="165" fontId="11" fillId="0" borderId="62" applyAlignment="1" pivotButton="0" quotePrefix="0" xfId="0">
      <alignment horizontal="center" vertical="center"/>
    </xf>
    <xf numFmtId="171" fontId="11" fillId="0" borderId="59" applyAlignment="1" pivotButton="0" quotePrefix="0" xfId="16">
      <alignment horizontal="right" vertical="center"/>
    </xf>
    <xf numFmtId="165" fontId="11" fillId="0" borderId="59" applyAlignment="1" pivotButton="0" quotePrefix="0" xfId="19">
      <alignment horizontal="right" vertical="center"/>
    </xf>
    <xf numFmtId="165" fontId="11" fillId="0" borderId="103" applyAlignment="1" pivotButton="0" quotePrefix="0" xfId="19">
      <alignment horizontal="center" vertical="center"/>
    </xf>
    <xf numFmtId="183" fontId="11" fillId="0" borderId="104" applyAlignment="1" pivotButton="0" quotePrefix="0" xfId="0">
      <alignment horizontal="general" vertical="center"/>
    </xf>
    <xf numFmtId="165" fontId="11" fillId="0" borderId="105" applyAlignment="1" pivotButton="0" quotePrefix="0" xfId="0">
      <alignment horizontal="general" vertical="center"/>
    </xf>
    <xf numFmtId="164" fontId="11" fillId="0" borderId="0" applyAlignment="1" pivotButton="0" quotePrefix="0" xfId="0">
      <alignment horizontal="center" vertical="center"/>
    </xf>
    <xf numFmtId="182" fontId="11" fillId="0" borderId="0" applyAlignment="1" pivotButton="0" quotePrefix="0" xfId="19">
      <alignment horizontal="general" vertical="center"/>
    </xf>
    <xf numFmtId="183" fontId="11" fillId="0" borderId="0" applyAlignment="1" pivotButton="0" quotePrefix="0" xfId="19">
      <alignment horizontal="right" vertical="center"/>
    </xf>
    <xf numFmtId="165" fontId="11" fillId="0" borderId="0" applyAlignment="1" pivotButton="0" quotePrefix="0" xfId="19">
      <alignment horizontal="center" vertical="center"/>
    </xf>
    <xf numFmtId="165" fontId="6" fillId="0" borderId="28" applyAlignment="1" pivotButton="0" quotePrefix="0" xfId="0">
      <alignment horizontal="general" vertical="center"/>
    </xf>
    <xf numFmtId="10" fontId="6" fillId="0" borderId="28" applyAlignment="1" pivotButton="0" quotePrefix="0" xfId="0">
      <alignment horizontal="general" vertical="center"/>
    </xf>
    <xf numFmtId="167" fontId="0" fillId="0" borderId="0" applyAlignment="1" pivotButton="0" quotePrefix="0" xfId="16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5" borderId="40" applyAlignment="1" pivotButton="0" quotePrefix="0" xfId="0">
      <alignment horizontal="center" vertical="center"/>
    </xf>
    <xf numFmtId="167" fontId="26" fillId="5" borderId="28" applyAlignment="1" pivotButton="0" quotePrefix="0" xfId="16">
      <alignment horizontal="center" vertical="center"/>
    </xf>
    <xf numFmtId="167" fontId="25" fillId="5" borderId="28" applyAlignment="1" pivotButton="0" quotePrefix="0" xfId="16">
      <alignment horizontal="center" vertical="center" wrapText="1"/>
    </xf>
    <xf numFmtId="0" fontId="25" fillId="5" borderId="28" applyAlignment="1" pivotButton="0" quotePrefix="0" xfId="0">
      <alignment horizontal="center" vertical="center" wrapText="1"/>
    </xf>
    <xf numFmtId="0" fontId="25" fillId="5" borderId="4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7" fillId="0" borderId="40" applyAlignment="1" pivotButton="0" quotePrefix="0" xfId="0">
      <alignment horizontal="center" vertical="center"/>
    </xf>
    <xf numFmtId="167" fontId="28" fillId="0" borderId="28" applyAlignment="1" pivotButton="0" quotePrefix="0" xfId="16">
      <alignment horizontal="center" vertical="center"/>
    </xf>
    <xf numFmtId="171" fontId="28" fillId="0" borderId="28" applyAlignment="1" pivotButton="0" quotePrefix="0" xfId="16">
      <alignment horizontal="general" vertical="center"/>
    </xf>
    <xf numFmtId="167" fontId="28" fillId="0" borderId="28" applyAlignment="1" pivotButton="0" quotePrefix="0" xfId="16">
      <alignment horizontal="general" vertical="center"/>
    </xf>
    <xf numFmtId="3" fontId="28" fillId="0" borderId="28" applyAlignment="1" pivotButton="0" quotePrefix="0" xfId="0">
      <alignment horizontal="general" vertical="center"/>
    </xf>
    <xf numFmtId="0" fontId="28" fillId="0" borderId="44" applyAlignment="1" pivotButton="0" quotePrefix="0" xfId="0">
      <alignment horizontal="center" vertical="center"/>
    </xf>
    <xf numFmtId="171" fontId="26" fillId="5" borderId="28" applyAlignment="1" pivotButton="0" quotePrefix="0" xfId="16">
      <alignment horizontal="general" vertical="center"/>
    </xf>
    <xf numFmtId="167" fontId="26" fillId="5" borderId="28" applyAlignment="1" pivotButton="0" quotePrefix="0" xfId="16">
      <alignment horizontal="general" vertical="center"/>
    </xf>
    <xf numFmtId="0" fontId="26" fillId="5" borderId="28" applyAlignment="1" pivotButton="0" quotePrefix="0" xfId="0">
      <alignment horizontal="general" vertical="center"/>
    </xf>
    <xf numFmtId="0" fontId="26" fillId="5" borderId="44" applyAlignment="1" pivotButton="0" quotePrefix="0" xfId="0">
      <alignment horizontal="general" vertical="center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쉼표 [0] 4" xfId="6"/>
    <cellStyle name="Excel_BuiltIn_좋음" xfId="7"/>
    <cellStyle name="Excel_BuiltIn_입력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AT8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828125" defaultRowHeight="13.5" zeroHeight="0" outlineLevelRow="0"/>
  <cols>
    <col width="3.77" customWidth="1" style="517" min="1" max="1"/>
    <col width="12.11" customWidth="1" style="518" min="2" max="5"/>
    <col width="13.77" customWidth="1" style="518" min="6" max="6"/>
    <col width="15.55" customWidth="1" style="518" min="7" max="7"/>
    <col width="12.11" customWidth="1" style="518" min="8" max="9"/>
    <col width="13.11" customWidth="1" style="518" min="10" max="17"/>
    <col hidden="1" width="12.11" customWidth="1" style="518" min="18" max="27"/>
    <col width="12.44" customWidth="1" style="518" min="28" max="28"/>
    <col width="8.44" customWidth="1" style="518" min="29" max="29"/>
    <col width="6.32" customWidth="1" style="518" min="30" max="30"/>
    <col width="3.33" customWidth="1" style="518" min="31" max="31"/>
    <col width="8.99" customWidth="1" style="518" min="32" max="32"/>
    <col width="7.88" customWidth="1" style="518" min="33" max="33"/>
    <col width="8.99" customWidth="1" style="518" min="34" max="34"/>
    <col width="7.88" customWidth="1" style="519" min="35" max="35"/>
    <col width="8.99" customWidth="1" style="518" min="36" max="36"/>
    <col width="6.1" customWidth="1" style="519" min="37" max="37"/>
    <col width="8.99" customWidth="1" style="518" min="38" max="38"/>
    <col width="5.21" customWidth="1" style="518" min="39" max="41"/>
    <col width="11.11" customWidth="1" style="518" min="42" max="42"/>
    <col width="2.32" customWidth="1" style="518" min="43" max="43"/>
    <col width="9.77" customWidth="1" style="518" min="44" max="56"/>
    <col width="8.880000000000001" customWidth="1" style="518" min="57" max="257"/>
  </cols>
  <sheetData>
    <row r="1" ht="20" customHeight="1" s="520">
      <c r="B1" s="521" t="inlineStr">
        <is>
          <t>법정 최대 (적용 기준)</t>
        </is>
      </c>
      <c r="C1" s="522" t="n"/>
      <c r="D1" s="523" t="inlineStr">
        <is>
          <t>㎡</t>
        </is>
      </c>
      <c r="E1" s="523" t="inlineStr">
        <is>
          <t>평</t>
        </is>
      </c>
      <c r="F1" s="521" t="inlineStr">
        <is>
          <t>산식 · 근거</t>
        </is>
      </c>
      <c r="G1" s="524" t="n"/>
      <c r="H1" s="522" t="n"/>
    </row>
    <row r="2" ht="20" customHeight="1" s="520">
      <c r="B2" s="525" t="inlineStr">
        <is>
          <t>건축면적</t>
        </is>
      </c>
      <c r="C2" s="522" t="n"/>
      <c r="D2" s="526" t="n"/>
      <c r="E2" s="526" t="n"/>
      <c r="F2" s="527" t="n"/>
      <c r="G2" s="524" t="n"/>
      <c r="H2" s="522" t="n"/>
      <c r="I2" s="518" t="n"/>
      <c r="U2" s="518" t="n"/>
    </row>
    <row r="3" ht="20" customHeight="1" s="520">
      <c r="B3" s="525" t="inlineStr">
        <is>
          <t>연면적</t>
        </is>
      </c>
      <c r="C3" s="522" t="n"/>
      <c r="D3" s="526" t="n"/>
      <c r="E3" s="526" t="n"/>
      <c r="F3" s="528" t="n"/>
      <c r="G3" s="524" t="n"/>
      <c r="H3" s="522" t="n"/>
      <c r="I3" s="518" t="n"/>
      <c r="N3" s="518" t="n"/>
      <c r="P3" s="518" t="n"/>
      <c r="R3" s="518" t="n"/>
      <c r="S3" s="518" t="n"/>
    </row>
    <row r="4" ht="20" customHeight="1" s="520">
      <c r="B4" s="529" t="inlineStr">
        <is>
          <t>지상 층수</t>
        </is>
      </c>
      <c r="C4" s="522" t="n"/>
      <c r="D4" s="530" t="n"/>
      <c r="E4" s="522" t="n"/>
      <c r="F4" s="527" t="n"/>
      <c r="G4" s="524" t="n"/>
      <c r="H4" s="522" t="n"/>
      <c r="T4" s="518" t="n"/>
      <c r="U4" s="518" t="n"/>
      <c r="V4" s="518" t="n"/>
      <c r="W4" s="518" t="n"/>
      <c r="X4" s="518" t="n"/>
    </row>
    <row r="5" ht="24" customHeight="1" s="520">
      <c r="A5" s="531" t="n"/>
      <c r="B5" s="532" t="n"/>
      <c r="C5" s="533" t="n"/>
      <c r="D5" s="533" t="n"/>
      <c r="E5" s="533" t="n"/>
      <c r="F5" s="533" t="n"/>
      <c r="G5" s="533" t="n"/>
      <c r="H5" s="533" t="n"/>
      <c r="I5" s="533" t="n"/>
      <c r="J5" s="533" t="n"/>
      <c r="K5" s="533" t="n"/>
      <c r="L5" s="533" t="n"/>
      <c r="M5" s="533" t="n"/>
      <c r="N5" s="533" t="n"/>
      <c r="O5" s="533" t="n"/>
      <c r="P5" s="533" t="n"/>
      <c r="Q5" s="533" t="n"/>
      <c r="R5" s="533" t="n"/>
      <c r="S5" s="533" t="n"/>
      <c r="T5" s="533" t="n"/>
      <c r="U5" s="533" t="n"/>
      <c r="V5" s="533" t="n"/>
      <c r="W5" s="533" t="n"/>
      <c r="X5" s="533" t="n"/>
      <c r="Y5" s="533" t="n"/>
      <c r="Z5" s="533" t="n"/>
      <c r="AA5" s="533" t="n"/>
      <c r="AB5" s="533" t="n"/>
      <c r="AC5" s="533" t="n"/>
      <c r="AD5" s="534" t="n"/>
      <c r="AE5" s="535" t="n"/>
      <c r="AF5" s="536" t="n"/>
      <c r="AG5" s="536" t="n"/>
      <c r="AH5" s="536" t="n"/>
      <c r="AI5" s="537" t="n"/>
      <c r="AJ5" s="536" t="n"/>
      <c r="AK5" s="537" t="n"/>
      <c r="AL5" s="536" t="n"/>
      <c r="AM5" s="536" t="n"/>
      <c r="AN5" s="536" t="n"/>
      <c r="AO5" s="536" t="n"/>
      <c r="AP5" s="536" t="n"/>
      <c r="AQ5" s="538" t="n"/>
      <c r="AR5" s="538" t="n"/>
    </row>
    <row r="6" ht="24" customHeight="1" s="520">
      <c r="A6" s="531" t="n"/>
      <c r="B6" s="539" t="inlineStr">
        <is>
          <t>■ 설계개요</t>
        </is>
      </c>
      <c r="C6" s="540" t="n"/>
      <c r="D6" s="541" t="n"/>
      <c r="E6" s="541" t="n"/>
      <c r="F6" s="541" t="n"/>
      <c r="G6" s="541" t="n"/>
      <c r="H6" s="539" t="n"/>
      <c r="I6" s="539" t="inlineStr">
        <is>
          <t>■ 층별면적표 (층고 3M)</t>
        </is>
      </c>
      <c r="J6" s="539" t="n"/>
      <c r="P6" s="539" t="n"/>
      <c r="Q6" s="539" t="n"/>
      <c r="R6" s="539" t="n"/>
      <c r="S6" s="539" t="n"/>
      <c r="T6" s="539" t="n"/>
      <c r="U6" s="539" t="n"/>
      <c r="V6" s="539" t="n"/>
      <c r="W6" s="539" t="n"/>
      <c r="X6" s="539" t="n"/>
      <c r="Y6" s="539" t="n"/>
      <c r="Z6" s="539" t="n"/>
      <c r="AA6" s="542" t="n"/>
      <c r="AB6" s="543" t="n"/>
      <c r="AC6" s="542" t="n"/>
      <c r="AD6" s="544" t="inlineStr">
        <is>
          <t>단위 : ㎡</t>
        </is>
      </c>
      <c r="AE6" s="545" t="n"/>
      <c r="AF6" s="536" t="n"/>
      <c r="AG6" s="536" t="n"/>
      <c r="AH6" s="536" t="n"/>
      <c r="AI6" s="537" t="n"/>
      <c r="AJ6" s="536" t="n"/>
      <c r="AK6" s="537" t="n"/>
      <c r="AL6" s="537" t="n"/>
      <c r="AM6" s="537" t="n"/>
      <c r="AN6" s="537" t="n"/>
      <c r="AO6" s="537" t="n"/>
      <c r="AP6" s="546" t="n"/>
      <c r="AQ6" s="546" t="n"/>
      <c r="AR6" s="546" t="n"/>
    </row>
    <row r="7" ht="24" customHeight="1" s="520">
      <c r="A7" s="531" t="n"/>
      <c r="B7" s="547" t="inlineStr">
        <is>
          <t>공사명</t>
        </is>
      </c>
      <c r="C7" s="548" t="n"/>
      <c r="D7" s="549" t="n"/>
      <c r="E7" s="549" t="n"/>
      <c r="F7" s="549" t="n"/>
      <c r="G7" s="550" t="n"/>
      <c r="H7" s="543" t="n"/>
      <c r="I7" s="551" t="n"/>
      <c r="J7" s="552" t="inlineStr">
        <is>
          <t>근린생활시설</t>
        </is>
      </c>
      <c r="K7" s="553" t="n"/>
      <c r="L7" s="552" t="inlineStr">
        <is>
          <t>다가구</t>
        </is>
      </c>
      <c r="M7" s="553" t="n"/>
      <c r="N7" s="554" t="inlineStr">
        <is>
          <t>공용</t>
        </is>
      </c>
      <c r="O7" s="553" t="n"/>
      <c r="P7" s="555" t="inlineStr">
        <is>
          <t>계</t>
        </is>
      </c>
      <c r="Q7" s="556" t="n"/>
      <c r="R7" s="557" t="inlineStr">
        <is>
          <t>근린생활시설</t>
        </is>
      </c>
      <c r="S7" s="558" t="n"/>
      <c r="T7" s="558" t="n"/>
      <c r="U7" s="559" t="inlineStr">
        <is>
          <t>-</t>
        </is>
      </c>
      <c r="V7" s="560" t="n"/>
      <c r="W7" s="561" t="n"/>
      <c r="X7" s="562" t="inlineStr">
        <is>
          <t>기계/전기실</t>
        </is>
      </c>
      <c r="Y7" s="563" t="inlineStr">
        <is>
          <t>주차장</t>
        </is>
      </c>
      <c r="Z7" s="564" t="inlineStr">
        <is>
          <t>부대시설
(관리사무실)</t>
        </is>
      </c>
      <c r="AA7" s="565" t="inlineStr">
        <is>
          <t>합계</t>
        </is>
      </c>
      <c r="AB7" s="566" t="inlineStr">
        <is>
          <t>비고</t>
        </is>
      </c>
      <c r="AC7" s="560" t="n"/>
      <c r="AD7" s="560" t="n"/>
      <c r="AE7" s="567" t="n"/>
      <c r="AF7" s="536" t="n"/>
      <c r="AG7" s="536" t="n"/>
      <c r="AH7" s="536" t="n"/>
      <c r="AI7" s="537" t="n"/>
      <c r="AJ7" s="536" t="n"/>
      <c r="AK7" s="537" t="n"/>
      <c r="AL7" s="568" t="n"/>
      <c r="AM7" s="568" t="n"/>
      <c r="AN7" s="568" t="n"/>
      <c r="AO7" s="568" t="n"/>
      <c r="AP7" s="546" t="n"/>
      <c r="AQ7" s="546" t="n"/>
      <c r="AR7" s="546" t="n"/>
    </row>
    <row r="8" ht="24" customHeight="1" s="520">
      <c r="A8" s="569" t="n"/>
      <c r="B8" s="570" t="inlineStr">
        <is>
          <t>대지현황</t>
        </is>
      </c>
      <c r="C8" s="571" t="inlineStr">
        <is>
          <t>대지위치</t>
        </is>
      </c>
      <c r="D8" s="572" t="n"/>
      <c r="E8" s="573" t="n"/>
      <c r="F8" s="573" t="n"/>
      <c r="G8" s="574" t="n"/>
      <c r="H8" s="543" t="n"/>
      <c r="I8" s="575" t="n"/>
      <c r="J8" s="576" t="inlineStr">
        <is>
          <t>SQM</t>
        </is>
      </c>
      <c r="K8" s="577" t="inlineStr">
        <is>
          <t>PY</t>
        </is>
      </c>
      <c r="L8" s="576" t="inlineStr">
        <is>
          <t>SQM</t>
        </is>
      </c>
      <c r="M8" s="577" t="inlineStr">
        <is>
          <t>PY</t>
        </is>
      </c>
      <c r="N8" s="578" t="inlineStr">
        <is>
          <t>SQM</t>
        </is>
      </c>
      <c r="O8" s="578" t="inlineStr">
        <is>
          <t>PY</t>
        </is>
      </c>
      <c r="P8" s="578" t="inlineStr">
        <is>
          <t>SQM</t>
        </is>
      </c>
      <c r="Q8" s="579" t="inlineStr">
        <is>
          <t>PY</t>
        </is>
      </c>
      <c r="R8" s="580" t="inlineStr">
        <is>
          <t>전용</t>
        </is>
      </c>
      <c r="S8" s="581" t="inlineStr">
        <is>
          <t>공용</t>
        </is>
      </c>
      <c r="T8" s="582" t="inlineStr">
        <is>
          <t>계</t>
        </is>
      </c>
      <c r="U8" s="583" t="inlineStr">
        <is>
          <t>전용</t>
        </is>
      </c>
      <c r="V8" s="581" t="inlineStr">
        <is>
          <t>공용</t>
        </is>
      </c>
      <c r="W8" s="584" t="inlineStr">
        <is>
          <t>계</t>
        </is>
      </c>
      <c r="X8" s="585" t="n"/>
      <c r="Y8" s="586" t="n"/>
      <c r="Z8" s="587" t="n"/>
      <c r="AA8" s="588" t="n"/>
      <c r="AB8" s="589" t="n"/>
      <c r="AC8" s="589" t="n"/>
      <c r="AD8" s="589" t="n"/>
      <c r="AF8" s="536" t="n"/>
      <c r="AG8" s="536" t="n"/>
      <c r="AH8" s="536" t="n"/>
      <c r="AI8" s="537" t="n"/>
      <c r="AJ8" s="536" t="n"/>
      <c r="AK8" s="537" t="n"/>
      <c r="AL8" s="568" t="n"/>
      <c r="AM8" s="568" t="n"/>
      <c r="AN8" s="568" t="n"/>
      <c r="AO8" s="568" t="n"/>
      <c r="AP8" s="546" t="n"/>
      <c r="AQ8" s="546" t="n"/>
      <c r="AR8" s="546" t="n"/>
    </row>
    <row r="9" ht="24" customHeight="1" s="520">
      <c r="A9" s="531" t="n"/>
      <c r="B9" s="590" t="n"/>
      <c r="C9" s="591" t="inlineStr">
        <is>
          <t>대지면적</t>
        </is>
      </c>
      <c r="D9" s="592" t="n"/>
      <c r="E9" s="593" t="n"/>
      <c r="F9" s="594" t="n"/>
      <c r="G9" s="595" t="n"/>
      <c r="H9" s="543" t="n"/>
      <c r="I9" s="596" t="n"/>
      <c r="J9" s="597" t="n"/>
      <c r="K9" s="598" t="n"/>
      <c r="L9" s="597" t="n"/>
      <c r="M9" s="598" t="n"/>
      <c r="N9" s="598" t="n"/>
      <c r="O9" s="599" t="n"/>
      <c r="P9" s="600" t="n"/>
      <c r="Q9" s="601" t="n"/>
      <c r="R9" s="602" t="n"/>
      <c r="S9" s="603" t="n"/>
      <c r="T9" s="604" t="n"/>
      <c r="U9" s="605" t="n"/>
      <c r="V9" s="606" t="n"/>
      <c r="W9" s="607" t="n"/>
      <c r="X9" s="605" t="n"/>
      <c r="Y9" s="606" t="n"/>
      <c r="Z9" s="607" t="n"/>
      <c r="AA9" s="608" t="n"/>
      <c r="AB9" s="609" t="n"/>
      <c r="AC9" s="573" t="n"/>
      <c r="AD9" s="573" t="n"/>
      <c r="AE9" s="567" t="n"/>
      <c r="AF9" s="536" t="n"/>
      <c r="AG9" s="536" t="n"/>
      <c r="AH9" s="536" t="n"/>
      <c r="AI9" s="537" t="n"/>
      <c r="AJ9" s="536" t="n"/>
      <c r="AK9" s="537" t="n"/>
      <c r="AL9" s="568" t="n"/>
      <c r="AM9" s="568" t="n"/>
      <c r="AN9" s="568" t="n"/>
      <c r="AO9" s="568" t="n"/>
      <c r="AP9" s="610" t="n"/>
      <c r="AQ9" s="611" t="n"/>
      <c r="AR9" s="611" t="n"/>
    </row>
    <row r="10" ht="24" customHeight="1" s="520">
      <c r="A10" s="531" t="n"/>
      <c r="B10" s="590" t="n"/>
      <c r="C10" s="612" t="n"/>
      <c r="D10" s="592" t="n"/>
      <c r="E10" s="593" t="n"/>
      <c r="F10" s="594" t="n"/>
      <c r="G10" s="595" t="n"/>
      <c r="H10" s="543" t="n"/>
      <c r="I10" s="596" t="n"/>
      <c r="J10" s="613" t="n"/>
      <c r="K10" s="614" t="n"/>
      <c r="L10" s="613" t="n"/>
      <c r="M10" s="614" t="n"/>
      <c r="N10" s="614" t="n"/>
      <c r="O10" s="599" t="n"/>
      <c r="P10" s="600" t="n"/>
      <c r="Q10" s="601" t="n"/>
      <c r="R10" s="615" t="n"/>
      <c r="S10" s="603" t="n"/>
      <c r="T10" s="616" t="n"/>
      <c r="U10" s="617" t="n"/>
      <c r="V10" s="618" t="n"/>
      <c r="W10" s="619" t="n"/>
      <c r="X10" s="620" t="n"/>
      <c r="Y10" s="603" t="n"/>
      <c r="Z10" s="621" t="n"/>
      <c r="AA10" s="622" t="n"/>
      <c r="AB10" s="623" t="n"/>
      <c r="AC10" s="623" t="n"/>
      <c r="AD10" s="623" t="n"/>
      <c r="AE10" s="567" t="n"/>
      <c r="AF10" s="536" t="n"/>
      <c r="AG10" s="536" t="n"/>
      <c r="AH10" s="536" t="n"/>
      <c r="AI10" s="537" t="n"/>
      <c r="AJ10" s="536" t="n"/>
      <c r="AK10" s="537" t="n"/>
      <c r="AL10" s="568" t="n"/>
      <c r="AM10" s="568" t="n"/>
      <c r="AN10" s="568" t="n"/>
      <c r="AO10" s="568" t="n"/>
      <c r="AP10" s="610" t="n"/>
      <c r="AQ10" s="611" t="n"/>
      <c r="AR10" s="611" t="n"/>
    </row>
    <row r="11" ht="24" customHeight="1" s="520">
      <c r="A11" s="531" t="n"/>
      <c r="B11" s="590" t="n"/>
      <c r="C11" s="612" t="n"/>
      <c r="D11" s="592" t="n"/>
      <c r="E11" s="593" t="n"/>
      <c r="F11" s="594" t="n"/>
      <c r="G11" s="595" t="n"/>
      <c r="H11" s="543" t="n"/>
      <c r="I11" s="596" t="n"/>
      <c r="J11" s="613" t="n"/>
      <c r="K11" s="614" t="n"/>
      <c r="L11" s="613" t="n"/>
      <c r="M11" s="614" t="n"/>
      <c r="N11" s="614" t="n"/>
      <c r="O11" s="599" t="n"/>
      <c r="P11" s="600" t="n"/>
      <c r="Q11" s="601" t="n"/>
      <c r="R11" s="615" t="n"/>
      <c r="S11" s="603" t="n"/>
      <c r="T11" s="616" t="n"/>
      <c r="U11" s="617" t="n"/>
      <c r="V11" s="618" t="n"/>
      <c r="W11" s="619" t="n"/>
      <c r="X11" s="620" t="n"/>
      <c r="Y11" s="603" t="n"/>
      <c r="Z11" s="621" t="n"/>
      <c r="AA11" s="622" t="n"/>
      <c r="AB11" s="623" t="n"/>
      <c r="AC11" s="623" t="n"/>
      <c r="AD11" s="623" t="n"/>
      <c r="AE11" s="567" t="n"/>
      <c r="AF11" s="536" t="n"/>
      <c r="AG11" s="536" t="n"/>
      <c r="AH11" s="536" t="n"/>
      <c r="AI11" s="537" t="n"/>
      <c r="AJ11" s="536" t="n"/>
      <c r="AK11" s="537" t="n"/>
      <c r="AL11" s="568" t="n"/>
      <c r="AM11" s="568" t="n"/>
      <c r="AN11" s="568" t="n"/>
      <c r="AO11" s="568" t="n"/>
      <c r="AP11" s="610" t="n"/>
      <c r="AQ11" s="611" t="n"/>
      <c r="AR11" s="611" t="n"/>
    </row>
    <row r="12" ht="24" customHeight="1" s="520">
      <c r="A12" s="531" t="n"/>
      <c r="B12" s="590" t="n"/>
      <c r="C12" s="612" t="n"/>
      <c r="D12" s="592" t="n"/>
      <c r="E12" s="593" t="n"/>
      <c r="F12" s="594" t="n"/>
      <c r="G12" s="595" t="n"/>
      <c r="H12" s="543" t="n"/>
      <c r="I12" s="596" t="n"/>
      <c r="J12" s="613" t="n"/>
      <c r="K12" s="614" t="n"/>
      <c r="L12" s="613" t="n"/>
      <c r="M12" s="614" t="n"/>
      <c r="N12" s="614" t="n"/>
      <c r="O12" s="599" t="n"/>
      <c r="P12" s="600" t="n"/>
      <c r="Q12" s="601" t="n"/>
      <c r="R12" s="615" t="n"/>
      <c r="S12" s="603" t="n"/>
      <c r="T12" s="616" t="n"/>
      <c r="U12" s="617" t="n"/>
      <c r="V12" s="618" t="n"/>
      <c r="W12" s="619" t="n"/>
      <c r="X12" s="620" t="n"/>
      <c r="Y12" s="603" t="n"/>
      <c r="Z12" s="621" t="n"/>
      <c r="AA12" s="622" t="n"/>
      <c r="AB12" s="623" t="n"/>
      <c r="AC12" s="623" t="n"/>
      <c r="AD12" s="623" t="n"/>
      <c r="AE12" s="567" t="n"/>
      <c r="AF12" s="536" t="n"/>
      <c r="AG12" s="536" t="n"/>
      <c r="AH12" s="536" t="n"/>
      <c r="AI12" s="537" t="n"/>
      <c r="AJ12" s="536" t="n"/>
      <c r="AK12" s="537" t="n"/>
      <c r="AL12" s="568" t="n"/>
      <c r="AM12" s="568" t="n"/>
      <c r="AN12" s="568" t="n"/>
      <c r="AO12" s="568" t="n"/>
      <c r="AP12" s="610" t="n"/>
      <c r="AQ12" s="611" t="n"/>
      <c r="AR12" s="611" t="n"/>
    </row>
    <row r="13" ht="24" customHeight="1" s="520">
      <c r="A13" s="531" t="n"/>
      <c r="B13" s="590" t="n"/>
      <c r="C13" s="612" t="n"/>
      <c r="D13" s="624" t="inlineStr">
        <is>
          <t>공제면적</t>
        </is>
      </c>
      <c r="E13" s="593" t="n"/>
      <c r="F13" s="594" t="n"/>
      <c r="G13" s="595" t="n"/>
      <c r="H13" s="543" t="n"/>
      <c r="I13" s="596" t="n"/>
      <c r="J13" s="613" t="n"/>
      <c r="K13" s="614" t="n"/>
      <c r="L13" s="613" t="n"/>
      <c r="M13" s="614" t="n"/>
      <c r="N13" s="614" t="n"/>
      <c r="O13" s="599" t="n"/>
      <c r="P13" s="600" t="n"/>
      <c r="Q13" s="601" t="n"/>
      <c r="R13" s="625" t="n"/>
      <c r="S13" s="618" t="n"/>
      <c r="T13" s="616" t="n"/>
      <c r="U13" s="617" t="n"/>
      <c r="V13" s="618" t="n"/>
      <c r="W13" s="619" t="n"/>
      <c r="X13" s="620" t="n"/>
      <c r="Y13" s="603" t="n"/>
      <c r="Z13" s="621" t="n"/>
      <c r="AA13" s="622" t="n"/>
      <c r="AB13" s="626" t="n"/>
      <c r="AC13" s="627" t="n"/>
      <c r="AD13" s="627" t="n"/>
      <c r="AE13" s="628" t="n"/>
      <c r="AF13" s="629" t="n"/>
      <c r="AG13" s="629" t="n"/>
      <c r="AH13" s="629" t="n"/>
      <c r="AI13" s="537" t="n"/>
      <c r="AJ13" s="629" t="n"/>
      <c r="AK13" s="537" t="n"/>
      <c r="AL13" s="568" t="n"/>
      <c r="AM13" s="568" t="n"/>
      <c r="AN13" s="568" t="n"/>
      <c r="AO13" s="568" t="n"/>
      <c r="AP13" s="546" t="n"/>
      <c r="AQ13" s="630" t="n"/>
      <c r="AR13" s="630" t="n"/>
    </row>
    <row r="14" ht="24" customHeight="1" s="520">
      <c r="A14" s="531" t="n"/>
      <c r="B14" s="590" t="n"/>
      <c r="C14" s="612" t="n"/>
      <c r="D14" s="624" t="inlineStr">
        <is>
          <t>공제면적</t>
        </is>
      </c>
      <c r="E14" s="593" t="n"/>
      <c r="F14" s="594" t="n"/>
      <c r="G14" s="595" t="n"/>
      <c r="H14" s="543" t="n"/>
      <c r="I14" s="596" t="n"/>
      <c r="J14" s="631" t="n"/>
      <c r="K14" s="632" t="n"/>
      <c r="L14" s="631" t="n"/>
      <c r="M14" s="632" t="n"/>
      <c r="N14" s="632" t="n"/>
      <c r="O14" s="633" t="n"/>
      <c r="P14" s="600" t="n"/>
      <c r="Q14" s="601" t="n"/>
      <c r="R14" s="625" t="n"/>
      <c r="S14" s="618" t="n"/>
      <c r="T14" s="634" t="n"/>
      <c r="U14" s="617" t="n"/>
      <c r="V14" s="635" t="n"/>
      <c r="W14" s="636" t="n"/>
      <c r="X14" s="617" t="n"/>
      <c r="Y14" s="618" t="n"/>
      <c r="Z14" s="619" t="n"/>
      <c r="AA14" s="637" t="n"/>
      <c r="AB14" s="638" t="n"/>
      <c r="AC14" s="639" t="n"/>
      <c r="AD14" s="639" t="n"/>
      <c r="AE14" s="567" t="n"/>
      <c r="AF14" s="640" t="n"/>
      <c r="AG14" s="640" t="n"/>
      <c r="AH14" s="640" t="n"/>
      <c r="AI14" s="640" t="n"/>
      <c r="AJ14" s="640" t="n"/>
      <c r="AK14" s="537" t="n"/>
      <c r="AL14" s="641" t="n"/>
      <c r="AM14" s="641" t="n"/>
      <c r="AN14" s="641" t="n"/>
      <c r="AO14" s="641" t="n"/>
      <c r="AP14" s="642" t="n"/>
      <c r="AQ14" s="629" t="n"/>
    </row>
    <row r="15" ht="24" customHeight="1" s="520">
      <c r="A15" s="531" t="n"/>
      <c r="B15" s="590" t="n"/>
      <c r="C15" s="643" t="n"/>
      <c r="D15" s="624" t="inlineStr">
        <is>
          <t>합계</t>
        </is>
      </c>
      <c r="E15" s="593">
        <f>SUM(E9:E12)-E13-E14</f>
        <v/>
      </c>
      <c r="F15" s="594">
        <f>E15*0.3025</f>
        <v/>
      </c>
      <c r="G15" s="595" t="n"/>
      <c r="H15" s="543" t="n"/>
      <c r="I15" s="596" t="n"/>
      <c r="J15" s="631" t="n"/>
      <c r="K15" s="632" t="n"/>
      <c r="L15" s="631" t="n"/>
      <c r="M15" s="632" t="n"/>
      <c r="N15" s="632" t="n"/>
      <c r="O15" s="633" t="n"/>
      <c r="P15" s="600" t="n"/>
      <c r="Q15" s="601" t="n"/>
      <c r="R15" s="625" t="n"/>
      <c r="S15" s="618" t="n"/>
      <c r="T15" s="634" t="n"/>
      <c r="U15" s="617" t="n"/>
      <c r="V15" s="635" t="n"/>
      <c r="W15" s="636" t="n"/>
      <c r="X15" s="617" t="n"/>
      <c r="Y15" s="618" t="n"/>
      <c r="Z15" s="619" t="n"/>
      <c r="AA15" s="637" t="n"/>
      <c r="AB15" s="638" t="n"/>
      <c r="AC15" s="639" t="n"/>
      <c r="AD15" s="639" t="n"/>
      <c r="AE15" s="567" t="n"/>
      <c r="AF15" s="629" t="n"/>
      <c r="AG15" s="629" t="n"/>
      <c r="AH15" s="629" t="n"/>
      <c r="AI15" s="537" t="n"/>
      <c r="AJ15" s="629" t="n"/>
      <c r="AK15" s="537" t="n"/>
      <c r="AL15" s="641" t="n"/>
      <c r="AM15" s="641" t="n"/>
      <c r="AN15" s="641" t="n"/>
      <c r="AO15" s="641" t="n"/>
      <c r="AP15" s="642" t="n"/>
      <c r="AQ15" s="629" t="n"/>
    </row>
    <row r="16" ht="34" customHeight="1" s="520">
      <c r="A16" s="531" t="n"/>
      <c r="B16" s="590" t="n"/>
      <c r="C16" s="644" t="inlineStr">
        <is>
          <t>지역/지구</t>
        </is>
      </c>
      <c r="D16" s="645" t="n"/>
      <c r="E16" s="524" t="n"/>
      <c r="F16" s="524" t="n"/>
      <c r="G16" s="524" t="n"/>
      <c r="H16" s="543" t="n"/>
      <c r="I16" s="596" t="n"/>
      <c r="J16" s="631" t="n"/>
      <c r="K16" s="632" t="n"/>
      <c r="L16" s="631" t="n"/>
      <c r="M16" s="632" t="n"/>
      <c r="N16" s="632" t="n"/>
      <c r="O16" s="633" t="n"/>
      <c r="P16" s="600" t="n"/>
      <c r="Q16" s="601" t="n"/>
      <c r="R16" s="625" t="n"/>
      <c r="S16" s="618" t="n"/>
      <c r="T16" s="634" t="n"/>
      <c r="U16" s="617" t="n"/>
      <c r="V16" s="635" t="n"/>
      <c r="W16" s="636" t="n"/>
      <c r="X16" s="617" t="n"/>
      <c r="Y16" s="618" t="n"/>
      <c r="Z16" s="619" t="n"/>
      <c r="AA16" s="637" t="n"/>
      <c r="AB16" s="638" t="n"/>
      <c r="AC16" s="639" t="n"/>
      <c r="AD16" s="639" t="n"/>
      <c r="AE16" s="567" t="n"/>
      <c r="AF16" s="629" t="n"/>
      <c r="AG16" s="629" t="n"/>
      <c r="AH16" s="646" t="n"/>
      <c r="AI16" s="647" t="n"/>
      <c r="AJ16" s="646" t="n"/>
      <c r="AK16" s="647" t="n"/>
      <c r="AL16" s="641" t="n"/>
      <c r="AM16" s="641" t="n"/>
      <c r="AN16" s="641" t="n"/>
      <c r="AO16" s="641" t="n"/>
      <c r="AP16" s="629" t="n"/>
      <c r="AQ16" s="629" t="n"/>
    </row>
    <row r="17" ht="24" customHeight="1" s="520">
      <c r="A17" s="531" t="n"/>
      <c r="B17" s="648" t="n"/>
      <c r="C17" s="649" t="inlineStr">
        <is>
          <t>도로현황</t>
        </is>
      </c>
      <c r="D17" s="650" t="n"/>
      <c r="E17" s="651" t="n"/>
      <c r="F17" s="651" t="n"/>
      <c r="G17" s="651" t="n"/>
      <c r="H17" s="543" t="n"/>
      <c r="I17" s="596" t="n"/>
      <c r="J17" s="631" t="n"/>
      <c r="K17" s="632" t="n"/>
      <c r="L17" s="631" t="n"/>
      <c r="M17" s="632" t="n"/>
      <c r="N17" s="632" t="n"/>
      <c r="O17" s="633" t="n"/>
      <c r="P17" s="600" t="n"/>
      <c r="Q17" s="601" t="n"/>
      <c r="R17" s="625" t="n"/>
      <c r="S17" s="618" t="n"/>
      <c r="T17" s="634" t="n"/>
      <c r="U17" s="617" t="n"/>
      <c r="V17" s="635" t="n"/>
      <c r="W17" s="636" t="n"/>
      <c r="X17" s="617" t="n"/>
      <c r="Y17" s="618" t="n"/>
      <c r="Z17" s="619" t="n"/>
      <c r="AA17" s="637" t="n"/>
      <c r="AB17" s="638" t="n"/>
      <c r="AC17" s="639" t="n"/>
      <c r="AD17" s="639" t="n"/>
      <c r="AE17" s="567" t="n"/>
      <c r="AF17" s="629" t="n"/>
      <c r="AG17" s="629" t="n"/>
      <c r="AH17" s="629" t="n"/>
      <c r="AI17" s="537" t="n"/>
      <c r="AJ17" s="629" t="n"/>
      <c r="AK17" s="537" t="n"/>
      <c r="AL17" s="641" t="n"/>
      <c r="AM17" s="641" t="n"/>
      <c r="AN17" s="641" t="n"/>
      <c r="AO17" s="641" t="n"/>
      <c r="AP17" s="629" t="n"/>
      <c r="AQ17" s="629" t="n"/>
    </row>
    <row r="18" ht="24" customHeight="1" s="520">
      <c r="A18" s="531" t="n"/>
      <c r="B18" s="570" t="inlineStr">
        <is>
          <t>건설규모</t>
        </is>
      </c>
      <c r="C18" s="571" t="inlineStr">
        <is>
          <t>용도</t>
        </is>
      </c>
      <c r="D18" s="652" t="n"/>
      <c r="E18" s="573" t="n"/>
      <c r="F18" s="573" t="n"/>
      <c r="G18" s="573" t="n"/>
      <c r="H18" s="543" t="n"/>
      <c r="I18" s="596" t="n"/>
      <c r="J18" s="631" t="n"/>
      <c r="K18" s="632" t="n"/>
      <c r="L18" s="631" t="n"/>
      <c r="M18" s="632" t="n"/>
      <c r="N18" s="632" t="n"/>
      <c r="O18" s="633" t="n"/>
      <c r="P18" s="600" t="n"/>
      <c r="Q18" s="601" t="n"/>
      <c r="R18" s="625" t="n"/>
      <c r="S18" s="618" t="n"/>
      <c r="T18" s="634" t="n"/>
      <c r="U18" s="617" t="n"/>
      <c r="V18" s="635" t="n"/>
      <c r="W18" s="636" t="n"/>
      <c r="X18" s="617" t="n"/>
      <c r="Y18" s="618" t="n"/>
      <c r="Z18" s="619" t="n"/>
      <c r="AA18" s="637" t="n"/>
      <c r="AB18" s="638" t="n"/>
      <c r="AC18" s="639" t="n"/>
      <c r="AD18" s="639" t="n"/>
      <c r="AE18" s="567" t="n"/>
      <c r="AF18" s="629" t="n"/>
      <c r="AG18" s="629" t="n"/>
      <c r="AH18" s="629" t="n"/>
      <c r="AI18" s="537" t="n"/>
      <c r="AJ18" s="642" t="n"/>
      <c r="AK18" s="653" t="n"/>
      <c r="AL18" s="641" t="n"/>
      <c r="AM18" s="641" t="n"/>
      <c r="AN18" s="641" t="n"/>
      <c r="AO18" s="641" t="n"/>
      <c r="AP18" s="629" t="n"/>
      <c r="AQ18" s="629" t="n"/>
    </row>
    <row r="19" ht="24" customHeight="1" s="520">
      <c r="A19" s="531" t="n"/>
      <c r="B19" s="590" t="n"/>
      <c r="C19" s="644" t="inlineStr">
        <is>
          <t>규모</t>
        </is>
      </c>
      <c r="D19" s="654" t="n"/>
      <c r="E19" s="524" t="n"/>
      <c r="F19" s="524" t="n"/>
      <c r="G19" s="655" t="n"/>
      <c r="H19" s="543" t="n"/>
      <c r="I19" s="596" t="n"/>
      <c r="J19" s="631" t="n"/>
      <c r="K19" s="632" t="n"/>
      <c r="L19" s="631" t="n"/>
      <c r="M19" s="632" t="n"/>
      <c r="N19" s="632" t="n"/>
      <c r="O19" s="633" t="n"/>
      <c r="P19" s="600" t="n"/>
      <c r="Q19" s="601" t="n"/>
      <c r="R19" s="625" t="n"/>
      <c r="S19" s="618" t="n"/>
      <c r="T19" s="634" t="n"/>
      <c r="U19" s="617" t="n"/>
      <c r="V19" s="635" t="n"/>
      <c r="W19" s="636" t="n"/>
      <c r="X19" s="617" t="n"/>
      <c r="Y19" s="618" t="n"/>
      <c r="Z19" s="619" t="n"/>
      <c r="AA19" s="637" t="n"/>
      <c r="AB19" s="638" t="n"/>
      <c r="AC19" s="639" t="n"/>
      <c r="AD19" s="639" t="n"/>
      <c r="AE19" s="567" t="n"/>
      <c r="AF19" s="629" t="n"/>
      <c r="AG19" s="629" t="n"/>
      <c r="AH19" s="656" t="n"/>
      <c r="AI19" s="657" t="n"/>
      <c r="AJ19" s="656" t="n"/>
      <c r="AK19" s="657" t="n"/>
      <c r="AL19" s="646" t="n"/>
      <c r="AM19" s="646" t="n"/>
      <c r="AN19" s="646" t="n"/>
      <c r="AO19" s="646" t="n"/>
      <c r="AP19" s="629" t="n"/>
      <c r="AQ19" s="629" t="n"/>
    </row>
    <row r="20" ht="24" customHeight="1" s="520">
      <c r="A20" s="531" t="n"/>
      <c r="B20" s="590" t="n"/>
      <c r="C20" s="644" t="inlineStr">
        <is>
          <t>건축면적</t>
        </is>
      </c>
      <c r="D20" s="593" t="n"/>
      <c r="E20" s="594">
        <f>D20*0.3025</f>
        <v/>
      </c>
      <c r="F20" s="595" t="n"/>
      <c r="G20" s="595" t="n"/>
      <c r="H20" s="543" t="n"/>
      <c r="I20" s="596" t="n"/>
      <c r="J20" s="631" t="n"/>
      <c r="K20" s="632" t="n"/>
      <c r="L20" s="631" t="n"/>
      <c r="M20" s="632" t="n"/>
      <c r="N20" s="632" t="n"/>
      <c r="O20" s="633" t="n"/>
      <c r="P20" s="600" t="n"/>
      <c r="Q20" s="601" t="n"/>
      <c r="R20" s="625" t="n"/>
      <c r="S20" s="618" t="n"/>
      <c r="T20" s="634" t="n"/>
      <c r="U20" s="617" t="n"/>
      <c r="V20" s="635" t="n"/>
      <c r="W20" s="636" t="n"/>
      <c r="X20" s="617" t="n"/>
      <c r="Y20" s="618" t="n"/>
      <c r="Z20" s="619" t="n"/>
      <c r="AA20" s="637" t="n"/>
      <c r="AB20" s="638" t="n"/>
      <c r="AC20" s="639" t="n"/>
      <c r="AD20" s="639" t="n"/>
      <c r="AE20" s="567" t="n"/>
      <c r="AF20" s="629" t="n"/>
      <c r="AG20" s="629" t="n"/>
      <c r="AH20" s="629" t="n"/>
      <c r="AI20" s="537" t="n"/>
      <c r="AJ20" s="629" t="n"/>
      <c r="AK20" s="537" t="n"/>
      <c r="AL20" s="629" t="n"/>
      <c r="AM20" s="629" t="n"/>
      <c r="AN20" s="629" t="n"/>
      <c r="AO20" s="629" t="n"/>
      <c r="AP20" s="629" t="n"/>
      <c r="AQ20" s="629" t="n"/>
    </row>
    <row r="21" ht="24" customHeight="1" s="520">
      <c r="A21" s="531" t="n"/>
      <c r="B21" s="590" t="n"/>
      <c r="C21" s="658" t="inlineStr">
        <is>
          <t>연면적</t>
        </is>
      </c>
      <c r="D21" s="659" t="inlineStr">
        <is>
          <t>지상</t>
        </is>
      </c>
      <c r="E21" s="593">
        <f>P29</f>
        <v/>
      </c>
      <c r="F21" s="594">
        <f>E21*0.3025</f>
        <v/>
      </c>
      <c r="G21" s="595" t="n"/>
      <c r="H21" s="543" t="n"/>
      <c r="I21" s="596" t="n"/>
      <c r="J21" s="631" t="n"/>
      <c r="K21" s="632" t="n"/>
      <c r="L21" s="631" t="n"/>
      <c r="M21" s="632" t="n"/>
      <c r="N21" s="632" t="n"/>
      <c r="O21" s="633" t="n"/>
      <c r="P21" s="600" t="n"/>
      <c r="Q21" s="601" t="n"/>
      <c r="R21" s="625" t="n"/>
      <c r="S21" s="618" t="n"/>
      <c r="T21" s="634" t="n"/>
      <c r="U21" s="617" t="n"/>
      <c r="V21" s="635" t="n"/>
      <c r="W21" s="636" t="n"/>
      <c r="X21" s="617" t="n"/>
      <c r="Y21" s="618" t="n"/>
      <c r="Z21" s="619" t="n"/>
      <c r="AA21" s="637" t="n"/>
      <c r="AB21" s="638" t="n"/>
      <c r="AC21" s="639" t="n"/>
      <c r="AD21" s="639" t="n"/>
      <c r="AE21" s="567" t="n"/>
      <c r="AF21" s="629" t="n"/>
      <c r="AG21" s="629" t="n"/>
      <c r="AH21" s="629" t="n"/>
      <c r="AI21" s="537" t="n"/>
      <c r="AJ21" s="629" t="n"/>
      <c r="AK21" s="537" t="n"/>
      <c r="AL21" s="641" t="n"/>
      <c r="AM21" s="641" t="n"/>
      <c r="AN21" s="641" t="n"/>
      <c r="AO21" s="641" t="n"/>
      <c r="AP21" s="629" t="n"/>
      <c r="AQ21" s="629" t="n"/>
    </row>
    <row r="22" ht="24" customHeight="1" s="520">
      <c r="A22" s="531" t="n"/>
      <c r="B22" s="590" t="n"/>
      <c r="C22" s="658" t="n"/>
      <c r="D22" s="659" t="inlineStr">
        <is>
          <t>지하</t>
        </is>
      </c>
      <c r="E22" s="593">
        <f>P36</f>
        <v/>
      </c>
      <c r="F22" s="594">
        <f>E22*0.3025</f>
        <v/>
      </c>
      <c r="G22" s="595" t="n"/>
      <c r="H22" s="543" t="n"/>
      <c r="I22" s="596" t="n"/>
      <c r="J22" s="631" t="n"/>
      <c r="K22" s="632" t="n"/>
      <c r="L22" s="631" t="n"/>
      <c r="M22" s="632" t="n"/>
      <c r="N22" s="614" t="n"/>
      <c r="O22" s="599" t="n"/>
      <c r="P22" s="600" t="n"/>
      <c r="Q22" s="601" t="n"/>
      <c r="R22" s="625" t="n"/>
      <c r="S22" s="618" t="n"/>
      <c r="T22" s="634" t="n"/>
      <c r="U22" s="617" t="n"/>
      <c r="V22" s="635" t="n"/>
      <c r="W22" s="636" t="n"/>
      <c r="X22" s="617" t="n"/>
      <c r="Y22" s="618" t="n"/>
      <c r="Z22" s="619" t="n"/>
      <c r="AA22" s="637" t="n"/>
      <c r="AB22" s="638" t="n"/>
      <c r="AC22" s="639" t="n"/>
      <c r="AD22" s="639" t="n"/>
      <c r="AE22" s="567" t="n"/>
      <c r="AF22" s="629" t="n"/>
      <c r="AG22" s="629" t="n"/>
      <c r="AH22" s="629" t="n"/>
      <c r="AI22" s="537" t="n"/>
      <c r="AJ22" s="629" t="n"/>
      <c r="AK22" s="537" t="n"/>
      <c r="AL22" s="641" t="n"/>
      <c r="AM22" s="641" t="n"/>
      <c r="AN22" s="641" t="n"/>
      <c r="AO22" s="641" t="n"/>
      <c r="AP22" s="629" t="n"/>
      <c r="AQ22" s="629" t="n"/>
    </row>
    <row r="23" ht="24" customHeight="1" s="520">
      <c r="A23" s="531" t="n"/>
      <c r="B23" s="590" t="n"/>
      <c r="C23" s="658" t="n"/>
      <c r="D23" s="660" t="inlineStr">
        <is>
          <t>합계</t>
        </is>
      </c>
      <c r="E23" s="661">
        <f>E21+E22</f>
        <v/>
      </c>
      <c r="F23" s="594">
        <f>E23*0.3025</f>
        <v/>
      </c>
      <c r="G23" s="662" t="n"/>
      <c r="H23" s="543" t="n"/>
      <c r="I23" s="596" t="n"/>
      <c r="J23" s="631" t="n"/>
      <c r="K23" s="632" t="n"/>
      <c r="L23" s="631" t="n"/>
      <c r="M23" s="632" t="n"/>
      <c r="N23" s="614" t="n"/>
      <c r="O23" s="599" t="n"/>
      <c r="P23" s="600" t="n"/>
      <c r="Q23" s="601" t="n"/>
      <c r="R23" s="625" t="n"/>
      <c r="S23" s="618" t="n"/>
      <c r="T23" s="634" t="n"/>
      <c r="U23" s="617" t="n"/>
      <c r="V23" s="635" t="n"/>
      <c r="W23" s="636" t="n"/>
      <c r="X23" s="617" t="n"/>
      <c r="Y23" s="618" t="n"/>
      <c r="Z23" s="619" t="n"/>
      <c r="AA23" s="637" t="n"/>
      <c r="AB23" s="638" t="n"/>
      <c r="AC23" s="639" t="n"/>
      <c r="AD23" s="639" t="n"/>
      <c r="AE23" s="567" t="n"/>
      <c r="AF23" s="663" t="n"/>
      <c r="AG23" s="663" t="n"/>
      <c r="AH23" s="663" t="n"/>
      <c r="AI23" s="663" t="n"/>
      <c r="AJ23" s="663" t="n"/>
      <c r="AK23" s="663" t="n"/>
      <c r="AL23" s="664" t="n"/>
      <c r="AM23" s="664" t="n"/>
      <c r="AN23" s="664" t="n"/>
      <c r="AO23" s="664" t="n"/>
      <c r="AP23" s="663" t="n"/>
      <c r="AQ23" s="663" t="n"/>
      <c r="AR23" s="665" t="n"/>
    </row>
    <row r="24" ht="24" customHeight="1" s="520">
      <c r="A24" s="531" t="n"/>
      <c r="B24" s="590" t="n"/>
      <c r="C24" s="666" t="inlineStr">
        <is>
          <t>건폐율</t>
        </is>
      </c>
      <c r="D24" s="667">
        <f>IF(D20="","",D20/$E$15)</f>
        <v/>
      </c>
      <c r="E24" s="668" t="inlineStr">
        <is>
          <t>법정:</t>
        </is>
      </c>
      <c r="F24" s="669" t="n"/>
      <c r="G24" s="670" t="n"/>
      <c r="H24" s="543" t="n"/>
      <c r="I24" s="596" t="n"/>
      <c r="J24" s="631" t="n"/>
      <c r="K24" s="632" t="n"/>
      <c r="L24" s="631" t="n"/>
      <c r="M24" s="632" t="n"/>
      <c r="N24" s="614" t="n"/>
      <c r="O24" s="599" t="n"/>
      <c r="P24" s="600" t="n"/>
      <c r="Q24" s="601" t="n"/>
      <c r="R24" s="625" t="n"/>
      <c r="S24" s="618" t="n"/>
      <c r="T24" s="634" t="n"/>
      <c r="U24" s="671" t="n"/>
      <c r="V24" s="672" t="n"/>
      <c r="W24" s="636" t="n"/>
      <c r="X24" s="671" t="n"/>
      <c r="Y24" s="673" t="n"/>
      <c r="Z24" s="674" t="n"/>
      <c r="AA24" s="675" t="n"/>
      <c r="AB24" s="638" t="n"/>
      <c r="AC24" s="639" t="n"/>
      <c r="AD24" s="639" t="n"/>
      <c r="AE24" s="567" t="n"/>
      <c r="AF24" s="629" t="n"/>
      <c r="AG24" s="629" t="n"/>
      <c r="AH24" s="629" t="n"/>
      <c r="AI24" s="663" t="n"/>
      <c r="AJ24" s="629" t="n"/>
      <c r="AK24" s="663" t="n"/>
      <c r="AL24" s="641" t="n"/>
      <c r="AM24" s="641" t="n"/>
      <c r="AN24" s="641" t="n"/>
      <c r="AO24" s="641" t="n"/>
      <c r="AP24" s="629" t="n"/>
      <c r="AQ24" s="663" t="n"/>
      <c r="AR24" s="641" t="n"/>
      <c r="AS24" s="518" t="n"/>
      <c r="AT24" s="518" t="n"/>
    </row>
    <row r="25" ht="24" customHeight="1" s="520">
      <c r="A25" s="531" t="n"/>
      <c r="B25" s="590" t="n"/>
      <c r="C25" s="676" t="inlineStr">
        <is>
          <t>용적율</t>
        </is>
      </c>
      <c r="D25" s="677">
        <f>IF(P29=0,"",P29/$E$15)</f>
        <v/>
      </c>
      <c r="E25" s="678" t="inlineStr">
        <is>
          <t>법정:</t>
        </is>
      </c>
      <c r="F25" s="679" t="n"/>
      <c r="G25" s="680" t="n"/>
      <c r="H25" s="543" t="n"/>
      <c r="I25" s="596" t="n"/>
      <c r="J25" s="631" t="n"/>
      <c r="K25" s="632" t="n"/>
      <c r="L25" s="631" t="n"/>
      <c r="M25" s="632" t="n"/>
      <c r="N25" s="632" t="n"/>
      <c r="O25" s="632" t="n"/>
      <c r="P25" s="681" t="n"/>
      <c r="Q25" s="682" t="n"/>
      <c r="R25" s="614" t="n"/>
      <c r="S25" s="683" t="n"/>
      <c r="T25" s="684" t="n"/>
      <c r="U25" s="671" t="n"/>
      <c r="V25" s="672" t="n"/>
      <c r="W25" s="636" t="n"/>
      <c r="X25" s="671" t="n"/>
      <c r="Y25" s="673" t="n"/>
      <c r="Z25" s="674" t="n"/>
      <c r="AA25" s="675" t="n"/>
      <c r="AB25" s="685" t="n"/>
      <c r="AC25" s="686" t="n"/>
      <c r="AD25" s="686" t="n"/>
      <c r="AE25" s="567" t="n"/>
      <c r="AF25" s="629" t="n"/>
      <c r="AG25" s="663" t="n"/>
      <c r="AH25" s="629" t="n"/>
      <c r="AI25" s="663" t="n"/>
      <c r="AJ25" s="629" t="n"/>
      <c r="AK25" s="663" t="n"/>
      <c r="AL25" s="641" t="n"/>
      <c r="AM25" s="641" t="n"/>
      <c r="AN25" s="641" t="n"/>
      <c r="AO25" s="641" t="n"/>
      <c r="AP25" s="629" t="n"/>
      <c r="AQ25" s="663" t="n"/>
      <c r="AR25" s="641" t="n"/>
    </row>
    <row r="26" ht="24" customHeight="1" s="520">
      <c r="A26" s="531" t="n"/>
      <c r="B26" s="570" t="inlineStr">
        <is>
          <t>주차시설</t>
        </is>
      </c>
      <c r="C26" s="687" t="inlineStr">
        <is>
          <t>법정</t>
        </is>
      </c>
      <c r="D26" s="688" t="n"/>
      <c r="E26" s="689" t="n"/>
      <c r="F26" s="690" t="n"/>
      <c r="G26" s="691" t="n"/>
      <c r="H26" s="543" t="n"/>
      <c r="I26" s="596" t="n"/>
      <c r="J26" s="631" t="n"/>
      <c r="K26" s="632" t="n"/>
      <c r="L26" s="631" t="n"/>
      <c r="M26" s="632" t="n"/>
      <c r="N26" s="632" t="n"/>
      <c r="O26" s="632" t="n"/>
      <c r="P26" s="681" t="n"/>
      <c r="Q26" s="601" t="n"/>
      <c r="R26" s="614" t="n"/>
      <c r="S26" s="683" t="n"/>
      <c r="T26" s="684" t="n"/>
      <c r="U26" s="617" t="n"/>
      <c r="V26" s="635" t="n"/>
      <c r="W26" s="636" t="n"/>
      <c r="X26" s="617" t="n"/>
      <c r="Y26" s="618" t="n"/>
      <c r="Z26" s="619" t="n"/>
      <c r="AA26" s="675" t="n"/>
      <c r="AB26" s="692" t="n"/>
      <c r="AC26" s="627" t="n"/>
      <c r="AD26" s="627" t="n"/>
      <c r="AE26" s="567" t="n"/>
      <c r="AF26" s="629" t="n"/>
      <c r="AG26" s="663" t="n"/>
      <c r="AH26" s="629" t="n"/>
      <c r="AI26" s="663" t="n"/>
      <c r="AJ26" s="629" t="n"/>
      <c r="AK26" s="663" t="n"/>
      <c r="AL26" s="641" t="n"/>
      <c r="AM26" s="641" t="n"/>
      <c r="AN26" s="641" t="n"/>
      <c r="AO26" s="641" t="n"/>
      <c r="AP26" s="629" t="n"/>
      <c r="AQ26" s="663" t="n"/>
      <c r="AR26" s="641" t="n"/>
    </row>
    <row r="27" ht="24" customHeight="1" s="520">
      <c r="A27" s="531" t="n"/>
      <c r="B27" s="590" t="n"/>
      <c r="C27" s="693" t="n"/>
      <c r="D27" s="694" t="n"/>
      <c r="E27" s="695" t="n"/>
      <c r="F27" s="696" t="n"/>
      <c r="G27" s="697" t="n"/>
      <c r="H27" s="698" t="n"/>
      <c r="I27" s="596" t="n"/>
      <c r="J27" s="631" t="n"/>
      <c r="K27" s="632" t="n"/>
      <c r="L27" s="631" t="n"/>
      <c r="M27" s="632" t="n"/>
      <c r="N27" s="632" t="n"/>
      <c r="O27" s="632" t="n"/>
      <c r="P27" s="681" t="n"/>
      <c r="Q27" s="601" t="n"/>
      <c r="R27" s="614" t="n"/>
      <c r="S27" s="683" t="n"/>
      <c r="T27" s="684" t="n"/>
      <c r="U27" s="671" t="n"/>
      <c r="V27" s="672" t="n"/>
      <c r="W27" s="699" t="n"/>
      <c r="X27" s="617" t="n"/>
      <c r="Y27" s="618" t="n"/>
      <c r="Z27" s="619" t="n"/>
      <c r="AA27" s="675" t="n"/>
      <c r="AB27" s="685" t="n"/>
      <c r="AC27" s="524" t="n"/>
      <c r="AD27" s="524" t="n"/>
      <c r="AE27" s="567" t="n"/>
      <c r="AF27" s="629" t="n"/>
      <c r="AG27" s="663" t="n"/>
      <c r="AH27" s="629" t="n"/>
      <c r="AI27" s="663" t="n"/>
      <c r="AJ27" s="629" t="n"/>
      <c r="AK27" s="663" t="n"/>
      <c r="AL27" s="641" t="n"/>
      <c r="AM27" s="641" t="n"/>
      <c r="AN27" s="641" t="n"/>
      <c r="AO27" s="641" t="n"/>
      <c r="AP27" s="629" t="n"/>
      <c r="AQ27" s="663" t="n"/>
      <c r="AR27" s="641" t="n"/>
    </row>
    <row r="28" ht="24" customHeight="1" s="520">
      <c r="A28" s="531" t="n"/>
      <c r="B28" s="590" t="n"/>
      <c r="C28" s="693" t="n"/>
      <c r="D28" s="694" t="n"/>
      <c r="E28" s="695" t="n"/>
      <c r="F28" s="696" t="n"/>
      <c r="G28" s="697" t="n"/>
      <c r="H28" s="698" t="n"/>
      <c r="I28" s="596" t="n"/>
      <c r="J28" s="700" t="n"/>
      <c r="K28" s="632" t="n"/>
      <c r="L28" s="700" t="n"/>
      <c r="M28" s="632" t="n"/>
      <c r="N28" s="632" t="n"/>
      <c r="O28" s="632" t="n"/>
      <c r="P28" s="681" t="n"/>
      <c r="Q28" s="601" t="n"/>
      <c r="R28" s="614" t="n"/>
      <c r="S28" s="683" t="n"/>
      <c r="T28" s="684" t="n"/>
      <c r="U28" s="671" t="n"/>
      <c r="V28" s="672" t="n"/>
      <c r="W28" s="699" t="n"/>
      <c r="X28" s="617" t="n"/>
      <c r="Y28" s="618" t="n"/>
      <c r="Z28" s="619" t="n"/>
      <c r="AA28" s="675" t="n"/>
      <c r="AB28" s="701" t="n"/>
      <c r="AC28" s="702" t="n"/>
      <c r="AD28" s="703" t="n"/>
      <c r="AE28" s="567" t="n"/>
      <c r="AF28" s="629" t="n"/>
      <c r="AG28" s="663" t="n"/>
      <c r="AH28" s="629" t="n"/>
      <c r="AI28" s="663" t="n"/>
      <c r="AJ28" s="629" t="n"/>
      <c r="AK28" s="663" t="n"/>
      <c r="AL28" s="641" t="n"/>
      <c r="AM28" s="641" t="n"/>
      <c r="AN28" s="641" t="n"/>
      <c r="AO28" s="641" t="n"/>
      <c r="AP28" s="629" t="n"/>
      <c r="AQ28" s="663" t="n"/>
      <c r="AR28" s="641" t="n"/>
    </row>
    <row r="29" ht="24" customHeight="1" s="520">
      <c r="A29" s="531" t="n"/>
      <c r="B29" s="590" t="n"/>
      <c r="C29" s="693" t="n"/>
      <c r="D29" s="659" t="n"/>
      <c r="E29" s="704" t="n"/>
      <c r="F29" s="690" t="n"/>
      <c r="G29" s="697" t="n"/>
      <c r="H29" s="698" t="n"/>
      <c r="I29" s="705" t="inlineStr">
        <is>
          <t>지상층계</t>
        </is>
      </c>
      <c r="J29" s="706">
        <f>SUM(J9:J28)</f>
        <v/>
      </c>
      <c r="K29" s="707">
        <f>J29*0.3025</f>
        <v/>
      </c>
      <c r="L29" s="706">
        <f>SUM(L9:L28)</f>
        <v/>
      </c>
      <c r="M29" s="707">
        <f>L29*0.3025</f>
        <v/>
      </c>
      <c r="N29" s="708">
        <f>SUM(N9:N28)</f>
        <v/>
      </c>
      <c r="O29" s="709">
        <f>N29*0.3025</f>
        <v/>
      </c>
      <c r="P29" s="710">
        <f>SUM(P9:P28)</f>
        <v/>
      </c>
      <c r="Q29" s="711">
        <f>P29*0.3025</f>
        <v/>
      </c>
      <c r="R29" s="707" t="n"/>
      <c r="S29" s="710" t="n"/>
      <c r="T29" s="711" t="n"/>
      <c r="U29" s="706" t="n"/>
      <c r="V29" s="710" t="n"/>
      <c r="W29" s="711" t="n"/>
      <c r="X29" s="706" t="n"/>
      <c r="Y29" s="710" t="n"/>
      <c r="Z29" s="711" t="n"/>
      <c r="AA29" s="712">
        <f>P29</f>
        <v/>
      </c>
      <c r="AB29" s="701" t="n"/>
      <c r="AC29" s="702" t="n"/>
      <c r="AD29" s="703" t="n"/>
      <c r="AE29" s="567" t="n"/>
      <c r="AF29" s="663" t="n"/>
      <c r="AG29" s="663" t="n"/>
      <c r="AH29" s="663" t="n"/>
      <c r="AI29" s="663" t="n"/>
      <c r="AJ29" s="629" t="n"/>
      <c r="AK29" s="663" t="n"/>
      <c r="AL29" s="713" t="n"/>
      <c r="AM29" s="713" t="n"/>
      <c r="AN29" s="713" t="n"/>
      <c r="AO29" s="713" t="n"/>
      <c r="AP29" s="536" t="n"/>
      <c r="AQ29" s="536" t="n"/>
      <c r="AR29" s="714" t="n"/>
    </row>
    <row r="30" ht="24" customHeight="1" s="520">
      <c r="A30" s="531" t="n"/>
      <c r="B30" s="590" t="n"/>
      <c r="C30" s="693" t="n"/>
      <c r="D30" s="659" t="inlineStr">
        <is>
          <t>계</t>
        </is>
      </c>
      <c r="E30" s="715" t="n"/>
      <c r="F30" s="716" t="n"/>
      <c r="G30" s="717" t="n"/>
      <c r="H30" s="698" t="n"/>
      <c r="I30" s="718" t="n"/>
      <c r="J30" s="719" t="n"/>
      <c r="K30" s="632" t="n"/>
      <c r="L30" s="720" t="n"/>
      <c r="M30" s="720" t="n"/>
      <c r="N30" s="721" t="n"/>
      <c r="O30" s="632" t="n"/>
      <c r="P30" s="722" t="n"/>
      <c r="Q30" s="601" t="n"/>
      <c r="R30" s="723" t="n"/>
      <c r="S30" s="724" t="n"/>
      <c r="T30" s="725" t="n"/>
      <c r="U30" s="726" t="n"/>
      <c r="V30" s="727" t="n"/>
      <c r="W30" s="728" t="n"/>
      <c r="X30" s="729" t="n"/>
      <c r="Y30" s="727" t="n"/>
      <c r="Z30" s="730" t="n"/>
      <c r="AA30" s="675" t="n"/>
      <c r="AB30" s="731" t="n"/>
      <c r="AC30" s="573" t="n"/>
      <c r="AD30" s="573" t="n"/>
      <c r="AE30" s="567" t="n"/>
      <c r="AF30" s="663" t="n"/>
      <c r="AG30" s="663" t="n"/>
      <c r="AH30" s="663" t="n"/>
      <c r="AI30" s="663" t="n"/>
      <c r="AJ30" s="629" t="n"/>
      <c r="AK30" s="663" t="n"/>
      <c r="AL30" s="641" t="n"/>
      <c r="AM30" s="641" t="n"/>
      <c r="AN30" s="641" t="n"/>
      <c r="AO30" s="641" t="n"/>
      <c r="AP30" s="536" t="n"/>
      <c r="AQ30" s="536" t="n"/>
      <c r="AR30" s="518" t="n"/>
    </row>
    <row r="31" ht="24" customHeight="1" s="520">
      <c r="A31" s="531" t="n"/>
      <c r="B31" s="590" t="n"/>
      <c r="C31" s="676" t="inlineStr">
        <is>
          <t>계획</t>
        </is>
      </c>
      <c r="D31" s="659" t="inlineStr">
        <is>
          <t>지상</t>
        </is>
      </c>
      <c r="E31" s="732" t="inlineStr">
        <is>
          <t>자주식 주차</t>
        </is>
      </c>
      <c r="F31" s="524" t="n"/>
      <c r="G31" s="733" t="n"/>
      <c r="H31" s="698" t="n"/>
      <c r="I31" s="718" t="n"/>
      <c r="J31" s="631" t="n"/>
      <c r="K31" s="632" t="n"/>
      <c r="L31" s="632" t="n"/>
      <c r="M31" s="632" t="n"/>
      <c r="N31" s="734" t="n"/>
      <c r="O31" s="734" t="n"/>
      <c r="P31" s="722" t="n"/>
      <c r="Q31" s="735" t="n"/>
      <c r="R31" s="736" t="n"/>
      <c r="S31" s="737" t="n"/>
      <c r="T31" s="738" t="n"/>
      <c r="U31" s="739" t="n"/>
      <c r="V31" s="672" t="n"/>
      <c r="W31" s="740" t="n"/>
      <c r="X31" s="671" t="n"/>
      <c r="Y31" s="672" t="n"/>
      <c r="Z31" s="699" t="n"/>
      <c r="AA31" s="675" t="n"/>
      <c r="AB31" s="638" t="n"/>
      <c r="AC31" s="524" t="n"/>
      <c r="AD31" s="524" t="n"/>
      <c r="AE31" s="567" t="n"/>
      <c r="AF31" s="741" t="n"/>
      <c r="AG31" s="741" t="n"/>
      <c r="AH31" s="741" t="n"/>
      <c r="AI31" s="741" t="n"/>
      <c r="AJ31" s="629" t="n"/>
      <c r="AK31" s="663" t="n"/>
      <c r="AL31" s="641" t="n"/>
      <c r="AM31" s="641" t="n"/>
      <c r="AN31" s="641" t="n"/>
      <c r="AO31" s="641" t="n"/>
      <c r="AP31" s="641" t="n"/>
      <c r="AQ31" s="536" t="n"/>
      <c r="AR31" s="518" t="n"/>
    </row>
    <row r="32" ht="24" customHeight="1" s="520">
      <c r="A32" s="531" t="n"/>
      <c r="B32" s="742" t="n"/>
      <c r="C32" s="543" t="n"/>
      <c r="D32" s="660" t="inlineStr">
        <is>
          <t>지하</t>
        </is>
      </c>
      <c r="E32" s="743" t="inlineStr">
        <is>
          <t>자주식 주차</t>
        </is>
      </c>
      <c r="F32" s="686" t="n"/>
      <c r="G32" s="744" t="n"/>
      <c r="H32" s="698" t="n"/>
      <c r="I32" s="718" t="n"/>
      <c r="J32" s="613" t="n"/>
      <c r="K32" s="614" t="n"/>
      <c r="L32" s="614" t="n"/>
      <c r="M32" s="614" t="n"/>
      <c r="N32" s="683" t="n"/>
      <c r="O32" s="599" t="n"/>
      <c r="P32" s="601" t="n"/>
      <c r="Q32" s="745" t="n"/>
      <c r="R32" s="736" t="n"/>
      <c r="S32" s="737" t="n"/>
      <c r="T32" s="738" t="n"/>
      <c r="U32" s="746" t="n"/>
      <c r="V32" s="635" t="n"/>
      <c r="W32" s="636" t="n"/>
      <c r="X32" s="617" t="n"/>
      <c r="Y32" s="635" t="n"/>
      <c r="Z32" s="636" t="n"/>
      <c r="AA32" s="747" t="n"/>
      <c r="AB32" s="639" t="n"/>
      <c r="AC32" s="524" t="n"/>
      <c r="AD32" s="524" t="n"/>
      <c r="AE32" s="567" t="n"/>
      <c r="AF32" s="629" t="n"/>
      <c r="AG32" s="629" t="n"/>
      <c r="AH32" s="663" t="n"/>
      <c r="AI32" s="663" t="n"/>
      <c r="AJ32" s="629" t="n"/>
      <c r="AK32" s="663" t="n"/>
      <c r="AL32" s="641" t="n"/>
      <c r="AM32" s="641" t="n"/>
      <c r="AN32" s="641" t="n"/>
      <c r="AO32" s="641" t="n"/>
      <c r="AP32" s="536" t="n"/>
      <c r="AQ32" s="536" t="n"/>
      <c r="AR32" s="518" t="n"/>
    </row>
    <row r="33" ht="24" customHeight="1" s="520">
      <c r="A33" s="531" t="n"/>
      <c r="B33" s="748" t="n"/>
      <c r="C33" s="749" t="n"/>
      <c r="D33" s="750" t="n"/>
      <c r="E33" s="749" t="n"/>
      <c r="F33" s="751" t="n"/>
      <c r="G33" s="749" t="n"/>
      <c r="H33" s="698" t="n"/>
      <c r="I33" s="718" t="n"/>
      <c r="J33" s="752" t="n"/>
      <c r="K33" s="753" t="n"/>
      <c r="L33" s="753" t="n"/>
      <c r="M33" s="753" t="n"/>
      <c r="N33" s="754" t="n"/>
      <c r="O33" s="755" t="n"/>
      <c r="P33" s="756" t="n"/>
      <c r="Q33" s="757" t="n"/>
      <c r="R33" s="758" t="n"/>
      <c r="S33" s="759" t="n"/>
      <c r="T33" s="760" t="n"/>
      <c r="U33" s="746" t="n"/>
      <c r="V33" s="635" t="n"/>
      <c r="W33" s="636" t="n"/>
      <c r="X33" s="746" t="n"/>
      <c r="Y33" s="635" t="n"/>
      <c r="Z33" s="636" t="n"/>
      <c r="AA33" s="761" t="n"/>
      <c r="AB33" s="639" t="n"/>
      <c r="AC33" s="524" t="n"/>
      <c r="AD33" s="524" t="n"/>
      <c r="AE33" s="567" t="n"/>
      <c r="AF33" s="629" t="n"/>
      <c r="AG33" s="629" t="n"/>
      <c r="AH33" s="663" t="n"/>
      <c r="AI33" s="663" t="n"/>
      <c r="AJ33" s="629" t="n"/>
      <c r="AK33" s="663" t="n"/>
      <c r="AL33" s="641" t="n"/>
      <c r="AM33" s="641" t="n"/>
      <c r="AN33" s="641" t="n"/>
      <c r="AO33" s="641" t="n"/>
      <c r="AP33" s="629" t="n"/>
      <c r="AQ33" s="629" t="n"/>
    </row>
    <row r="34" ht="24" customHeight="1" s="520">
      <c r="A34" s="531" t="n"/>
      <c r="B34" s="570" t="inlineStr">
        <is>
          <t>조경면적</t>
        </is>
      </c>
      <c r="C34" s="571" t="inlineStr">
        <is>
          <t>법정</t>
        </is>
      </c>
      <c r="D34" s="762">
        <f>E15</f>
        <v/>
      </c>
      <c r="E34" s="763" t="n"/>
      <c r="F34" s="764">
        <f>IF(E34="","",D34*E34)</f>
        <v/>
      </c>
      <c r="G34" s="574" t="n"/>
      <c r="H34" s="698" t="n"/>
      <c r="I34" s="718" t="n"/>
      <c r="J34" s="613" t="n"/>
      <c r="K34" s="614" t="n"/>
      <c r="L34" s="614" t="n"/>
      <c r="M34" s="614" t="n"/>
      <c r="N34" s="683" t="n"/>
      <c r="O34" s="765" t="n"/>
      <c r="P34" s="682" t="n"/>
      <c r="Q34" s="766" t="n"/>
      <c r="R34" s="736" t="n"/>
      <c r="S34" s="737" t="n"/>
      <c r="T34" s="767" t="n"/>
      <c r="U34" s="617" t="n"/>
      <c r="V34" s="618" t="n"/>
      <c r="W34" s="619" t="n"/>
      <c r="X34" s="617" t="n"/>
      <c r="Y34" s="618" t="n"/>
      <c r="Z34" s="619" t="n"/>
      <c r="AA34" s="747" t="n"/>
      <c r="AB34" s="639" t="n"/>
      <c r="AC34" s="524" t="n"/>
      <c r="AD34" s="524" t="n"/>
      <c r="AE34" s="567" t="n"/>
      <c r="AF34" s="768" t="n"/>
      <c r="AG34" s="768" t="n"/>
      <c r="AH34" s="629" t="n"/>
      <c r="AI34" s="663" t="n"/>
      <c r="AJ34" s="629" t="n"/>
      <c r="AK34" s="663" t="n"/>
      <c r="AL34" s="629" t="n"/>
      <c r="AM34" s="629" t="n"/>
      <c r="AN34" s="629" t="n"/>
      <c r="AO34" s="629" t="n"/>
      <c r="AP34" s="629" t="n"/>
      <c r="AQ34" s="629" t="n"/>
    </row>
    <row r="35" ht="24" customHeight="1" s="520">
      <c r="A35" s="531" t="n"/>
      <c r="B35" s="590" t="n"/>
      <c r="C35" s="769" t="n"/>
      <c r="D35" s="770" t="n"/>
      <c r="E35" s="771" t="n"/>
      <c r="F35" s="772" t="n"/>
      <c r="G35" s="773" t="n"/>
      <c r="H35" s="698" t="n"/>
      <c r="I35" s="718" t="n"/>
      <c r="J35" s="774" t="n"/>
      <c r="K35" s="774" t="n"/>
      <c r="L35" s="774" t="n"/>
      <c r="M35" s="774" t="n"/>
      <c r="N35" s="683" t="n"/>
      <c r="O35" s="765" t="n"/>
      <c r="P35" s="682" t="n"/>
      <c r="Q35" s="766" t="n"/>
      <c r="R35" s="736" t="n"/>
      <c r="S35" s="737" t="n"/>
      <c r="T35" s="767" t="n"/>
      <c r="U35" s="775" t="n"/>
      <c r="V35" s="618" t="n"/>
      <c r="W35" s="619" t="n"/>
      <c r="X35" s="617" t="n"/>
      <c r="Y35" s="618" t="n"/>
      <c r="Z35" s="776" t="n"/>
      <c r="AA35" s="747" t="n"/>
      <c r="AB35" s="639" t="n"/>
      <c r="AC35" s="524" t="n"/>
      <c r="AD35" s="524" t="n"/>
      <c r="AE35" s="567" t="n"/>
      <c r="AF35" s="768" t="n"/>
      <c r="AG35" s="768" t="n"/>
      <c r="AH35" s="629" t="n"/>
      <c r="AI35" s="663" t="n"/>
      <c r="AJ35" s="629" t="n"/>
      <c r="AK35" s="663" t="n"/>
      <c r="AL35" s="629" t="n"/>
      <c r="AM35" s="629" t="n"/>
      <c r="AN35" s="629" t="n"/>
      <c r="AO35" s="629" t="n"/>
      <c r="AP35" s="629" t="n"/>
      <c r="AQ35" s="629" t="n"/>
    </row>
    <row r="36" ht="24" customHeight="1" s="520">
      <c r="A36" s="531" t="n"/>
      <c r="B36" s="777" t="n"/>
      <c r="C36" s="644" t="inlineStr">
        <is>
          <t>계획</t>
        </is>
      </c>
      <c r="D36" s="778">
        <f>D34</f>
        <v/>
      </c>
      <c r="E36" s="779">
        <f>E34</f>
        <v/>
      </c>
      <c r="F36" s="780">
        <f>IF(E36="","",D36*E36)</f>
        <v/>
      </c>
      <c r="G36" s="781" t="n"/>
      <c r="H36" s="543" t="n"/>
      <c r="I36" s="705" t="inlineStr">
        <is>
          <t>지하층계</t>
        </is>
      </c>
      <c r="J36" s="710">
        <f>SUM(J30:J35)</f>
        <v/>
      </c>
      <c r="K36" s="710">
        <f>J36*0.3025</f>
        <v/>
      </c>
      <c r="L36" s="710">
        <f>SUM(L30:L35)</f>
        <v/>
      </c>
      <c r="M36" s="710">
        <f>L36*0.3025</f>
        <v/>
      </c>
      <c r="N36" s="710">
        <f>SUM(N30:N35)</f>
        <v/>
      </c>
      <c r="O36" s="782">
        <f>N36*0.3025</f>
        <v/>
      </c>
      <c r="P36" s="711">
        <f>SUM(P30:P35)</f>
        <v/>
      </c>
      <c r="Q36" s="712">
        <f>P36*0.3025</f>
        <v/>
      </c>
      <c r="R36" s="783" t="n"/>
      <c r="S36" s="784" t="n"/>
      <c r="T36" s="785" t="n"/>
      <c r="U36" s="706" t="n"/>
      <c r="V36" s="710" t="n"/>
      <c r="W36" s="711" t="n"/>
      <c r="X36" s="706" t="n"/>
      <c r="Y36" s="710" t="n"/>
      <c r="Z36" s="711" t="n"/>
      <c r="AA36" s="712">
        <f>P36</f>
        <v/>
      </c>
      <c r="AB36" s="701" t="n"/>
      <c r="AC36" s="702" t="n"/>
      <c r="AD36" s="703" t="n"/>
      <c r="AE36" s="567" t="n"/>
      <c r="AF36" s="629" t="n"/>
      <c r="AG36" s="629" t="n"/>
      <c r="AH36" s="629" t="n"/>
      <c r="AI36" s="663" t="n"/>
      <c r="AJ36" s="629" t="n"/>
      <c r="AK36" s="663" t="n"/>
      <c r="AL36" s="713" t="n"/>
      <c r="AM36" s="713" t="n"/>
      <c r="AN36" s="713" t="n"/>
      <c r="AO36" s="713" t="n"/>
      <c r="AP36" s="786" t="n"/>
      <c r="AQ36" s="629" t="n"/>
    </row>
    <row r="37" ht="24" customHeight="1" s="520">
      <c r="A37" s="531" t="n"/>
      <c r="B37" s="787" t="inlineStr">
        <is>
          <t>커뮤니티</t>
        </is>
      </c>
      <c r="C37" s="644" t="inlineStr">
        <is>
          <t>법정</t>
        </is>
      </c>
      <c r="D37" s="778" t="n"/>
      <c r="E37" s="771" t="n"/>
      <c r="F37" s="788" t="n"/>
      <c r="G37" s="773" t="n"/>
      <c r="H37" s="543" t="n"/>
      <c r="I37" s="570" t="inlineStr">
        <is>
          <t>합계</t>
        </is>
      </c>
      <c r="J37" s="726">
        <f>J29+J36</f>
        <v/>
      </c>
      <c r="K37" s="789">
        <f>J37*0.3025</f>
        <v/>
      </c>
      <c r="L37" s="726">
        <f>L29+L36</f>
        <v/>
      </c>
      <c r="M37" s="789">
        <f>L37*0.3025</f>
        <v/>
      </c>
      <c r="N37" s="727">
        <f>N29+N36</f>
        <v/>
      </c>
      <c r="O37" s="790">
        <f>N37*0.3025</f>
        <v/>
      </c>
      <c r="P37" s="728">
        <f>P29+P36</f>
        <v/>
      </c>
      <c r="Q37" s="791">
        <f>P37*0.3025</f>
        <v/>
      </c>
      <c r="R37" s="792" t="n"/>
      <c r="S37" s="793" t="n"/>
      <c r="T37" s="794" t="n"/>
      <c r="U37" s="726" t="n"/>
      <c r="V37" s="727" t="n"/>
      <c r="W37" s="727" t="n"/>
      <c r="X37" s="726" t="n"/>
      <c r="Y37" s="727" t="n"/>
      <c r="Z37" s="728" t="n"/>
      <c r="AA37" s="791">
        <f>P37</f>
        <v/>
      </c>
      <c r="AB37" s="795" t="n"/>
      <c r="AC37" s="796" t="n"/>
      <c r="AD37" s="797" t="n"/>
      <c r="AE37" s="567" t="n"/>
      <c r="AF37" s="535" t="n"/>
      <c r="AG37" s="535" t="n"/>
      <c r="AH37" s="535" t="n"/>
      <c r="AI37" s="663" t="n"/>
      <c r="AJ37" s="535" t="n"/>
      <c r="AK37" s="663" t="n"/>
      <c r="AL37" s="641" t="n"/>
      <c r="AM37" s="641" t="n"/>
      <c r="AN37" s="641" t="n"/>
      <c r="AO37" s="641" t="n"/>
      <c r="AP37" s="629" t="n"/>
      <c r="AQ37" s="629" t="n"/>
    </row>
    <row r="38" ht="24" customHeight="1" s="520">
      <c r="A38" s="531" t="n"/>
      <c r="B38" s="798" t="n"/>
      <c r="C38" s="799" t="inlineStr">
        <is>
          <t>계획</t>
        </is>
      </c>
      <c r="D38" s="800" t="n"/>
      <c r="E38" s="801" t="n"/>
      <c r="F38" s="802" t="n"/>
      <c r="G38" s="803" t="n"/>
      <c r="H38" s="543" t="n"/>
      <c r="I38" s="798" t="n"/>
      <c r="J38" s="804">
        <f>J37*0.3025</f>
        <v/>
      </c>
      <c r="K38" s="805" t="n"/>
      <c r="L38" s="804">
        <f>L37*0.3025</f>
        <v/>
      </c>
      <c r="M38" s="805" t="n"/>
      <c r="N38" s="806">
        <f>N37*0.3025</f>
        <v/>
      </c>
      <c r="O38" s="807" t="n"/>
      <c r="P38" s="808">
        <f>P37*0.3025</f>
        <v/>
      </c>
      <c r="Q38" s="809" t="n"/>
      <c r="R38" s="810" t="n"/>
      <c r="S38" s="811" t="n"/>
      <c r="T38" s="812" t="n"/>
      <c r="U38" s="804" t="n"/>
      <c r="V38" s="806" t="n"/>
      <c r="W38" s="806" t="n"/>
      <c r="X38" s="804" t="n"/>
      <c r="Y38" s="806" t="n"/>
      <c r="Z38" s="808" t="n"/>
      <c r="AA38" s="813" t="n"/>
      <c r="AB38" s="541" t="n"/>
      <c r="AC38" s="541" t="n"/>
      <c r="AD38" s="814" t="n"/>
      <c r="AE38" s="567" t="n"/>
      <c r="AF38" s="646" t="n"/>
      <c r="AG38" s="646" t="n"/>
      <c r="AH38" s="646" t="n"/>
      <c r="AI38" s="647" t="n"/>
      <c r="AJ38" s="646" t="n"/>
      <c r="AK38" s="647" t="n"/>
      <c r="AL38" s="641" t="n"/>
      <c r="AM38" s="641" t="n"/>
      <c r="AN38" s="641" t="n"/>
      <c r="AO38" s="641" t="n"/>
      <c r="AP38" s="629" t="n"/>
      <c r="AQ38" s="629" t="n"/>
    </row>
    <row r="39" ht="24" customHeight="1" s="520">
      <c r="A39" s="531" t="n"/>
      <c r="B39" s="543" t="n"/>
      <c r="C39" s="543" t="n"/>
      <c r="D39" s="543" t="n"/>
      <c r="E39" s="543" t="n"/>
      <c r="F39" s="543" t="n"/>
      <c r="G39" s="543" t="n"/>
      <c r="H39" s="543" t="n"/>
      <c r="I39" s="640" t="n"/>
      <c r="J39" s="815" t="n"/>
      <c r="K39" s="815" t="n"/>
      <c r="L39" s="815" t="n"/>
      <c r="M39" s="815" t="n"/>
      <c r="N39" s="640" t="n"/>
      <c r="O39" s="640" t="n"/>
      <c r="P39" s="640" t="n"/>
      <c r="Q39" s="640" t="n"/>
      <c r="R39" s="640" t="n"/>
      <c r="S39" s="640" t="n"/>
      <c r="T39" s="640" t="n"/>
      <c r="U39" s="640" t="n"/>
      <c r="V39" s="640" t="n"/>
      <c r="W39" s="640" t="n"/>
      <c r="X39" s="640" t="n"/>
      <c r="Y39" s="640" t="n"/>
      <c r="Z39" s="640" t="n"/>
      <c r="AA39" s="640" t="n"/>
      <c r="AB39" s="640" t="n"/>
      <c r="AC39" s="640" t="n"/>
      <c r="AD39" s="640" t="n"/>
      <c r="AE39" s="640" t="n"/>
      <c r="AF39" s="536" t="n"/>
      <c r="AG39" s="536" t="n"/>
      <c r="AH39" s="536" t="n"/>
      <c r="AI39" s="537" t="n"/>
      <c r="AJ39" s="536" t="n"/>
      <c r="AK39" s="537" t="n"/>
      <c r="AL39" s="629" t="n"/>
      <c r="AM39" s="629" t="n"/>
      <c r="AN39" s="629" t="n"/>
      <c r="AO39" s="629" t="n"/>
      <c r="AP39" s="629" t="n"/>
      <c r="AQ39" s="629" t="n"/>
    </row>
    <row r="40" ht="24" customHeight="1" s="520">
      <c r="A40" s="531" t="n"/>
      <c r="B40" s="816" t="n"/>
      <c r="C40" s="817" t="n"/>
      <c r="D40" s="817" t="n"/>
      <c r="E40" s="817" t="n"/>
      <c r="F40" s="818" t="n"/>
      <c r="G40" s="817" t="n"/>
      <c r="H40" s="817" t="n"/>
      <c r="I40" s="817" t="n"/>
      <c r="J40" s="817" t="n"/>
      <c r="K40" s="817" t="n"/>
      <c r="L40" s="817" t="n"/>
      <c r="M40" s="817" t="n"/>
      <c r="N40" s="817" t="n"/>
      <c r="O40" s="817" t="n"/>
      <c r="P40" s="817" t="n"/>
      <c r="Q40" s="817" t="n"/>
      <c r="R40" s="817" t="n"/>
      <c r="S40" s="817" t="n"/>
      <c r="T40" s="817" t="n"/>
      <c r="U40" s="817" t="n"/>
      <c r="V40" s="817" t="n"/>
      <c r="W40" s="817" t="n"/>
      <c r="X40" s="817" t="n"/>
      <c r="Y40" s="817" t="n"/>
      <c r="Z40" s="817" t="n"/>
      <c r="AA40" s="819" t="n"/>
      <c r="AB40" s="543" t="n"/>
      <c r="AC40" s="543" t="n"/>
      <c r="AD40" s="543" t="n"/>
      <c r="AE40" s="543" t="n"/>
      <c r="AF40" s="629" t="n"/>
      <c r="AG40" s="629" t="n"/>
      <c r="AH40" s="629" t="n"/>
      <c r="AI40" s="663" t="n"/>
      <c r="AJ40" s="629" t="n"/>
      <c r="AK40" s="663" t="n"/>
      <c r="AL40" s="629" t="n"/>
      <c r="AM40" s="629" t="n"/>
      <c r="AN40" s="629" t="n"/>
      <c r="AO40" s="629" t="n"/>
      <c r="AP40" s="629" t="n"/>
      <c r="AQ40" s="629" t="n"/>
    </row>
    <row r="41" ht="24" customHeight="1" s="520">
      <c r="A41" s="531" t="n"/>
      <c r="B41" s="820" t="n"/>
      <c r="C41" s="821" t="n"/>
      <c r="E41" s="822" t="n"/>
      <c r="G41" s="822" t="n"/>
      <c r="I41" s="823" t="n"/>
      <c r="K41" s="824" t="n"/>
      <c r="L41" s="824" t="n"/>
      <c r="M41" s="824" t="n"/>
      <c r="N41" s="820" t="n"/>
      <c r="Q41" s="824" t="n"/>
      <c r="R41" s="824" t="n"/>
      <c r="S41" s="824" t="n"/>
      <c r="T41" s="824" t="n"/>
      <c r="U41" s="820" t="n"/>
      <c r="W41" s="824" t="n"/>
      <c r="X41" s="820" t="n"/>
      <c r="Z41" s="821" t="n"/>
      <c r="AA41" s="825" t="n"/>
      <c r="AB41" s="543" t="n"/>
      <c r="AC41" s="543" t="n"/>
      <c r="AD41" s="543" t="n"/>
      <c r="AE41" s="543" t="n"/>
      <c r="AF41" s="536" t="n"/>
      <c r="AG41" s="536" t="n"/>
      <c r="AH41" s="536" t="n"/>
      <c r="AI41" s="537" t="n"/>
      <c r="AJ41" s="536" t="n"/>
      <c r="AK41" s="537" t="n"/>
      <c r="AL41" s="629" t="n"/>
      <c r="AM41" s="629" t="n"/>
      <c r="AN41" s="629" t="n"/>
      <c r="AO41" s="629" t="n"/>
      <c r="AP41" s="629" t="n"/>
      <c r="AQ41" s="629" t="n"/>
    </row>
    <row r="42" ht="24" customHeight="1" s="520">
      <c r="A42" s="531" t="n"/>
      <c r="B42" s="826" t="n"/>
      <c r="C42" s="827" t="n"/>
      <c r="D42" s="828" t="n"/>
      <c r="E42" s="829" t="n"/>
      <c r="F42" s="828" t="n"/>
      <c r="G42" s="829" t="n"/>
      <c r="H42" s="828" t="n"/>
      <c r="I42" s="829" t="n"/>
      <c r="J42" s="830" t="n"/>
      <c r="K42" s="831" t="n"/>
      <c r="L42" s="831" t="n"/>
      <c r="M42" s="831" t="n"/>
      <c r="N42" s="827" t="n"/>
      <c r="O42" s="832" t="n"/>
      <c r="P42" s="830" t="n"/>
      <c r="Q42" s="831" t="n"/>
      <c r="R42" s="831" t="n"/>
      <c r="S42" s="831" t="n"/>
      <c r="T42" s="831" t="n"/>
      <c r="U42" s="827" t="n"/>
      <c r="V42" s="830" t="n"/>
      <c r="W42" s="831" t="n"/>
      <c r="X42" s="827" t="n"/>
      <c r="Y42" s="830" t="n"/>
      <c r="Z42" s="833" t="n"/>
      <c r="AA42" s="834" t="n"/>
      <c r="AB42" s="543" t="n"/>
      <c r="AC42" s="543" t="n"/>
      <c r="AD42" s="543" t="n"/>
      <c r="AE42" s="543" t="n"/>
      <c r="AF42" s="536" t="n"/>
      <c r="AG42" s="536" t="n"/>
      <c r="AH42" s="536" t="n"/>
      <c r="AI42" s="537" t="n"/>
      <c r="AJ42" s="536" t="n"/>
      <c r="AK42" s="537" t="n"/>
      <c r="AL42" s="629" t="n"/>
      <c r="AM42" s="629" t="n"/>
      <c r="AN42" s="629" t="n"/>
      <c r="AO42" s="629" t="n"/>
      <c r="AP42" s="629" t="n"/>
      <c r="AQ42" s="629" t="n"/>
    </row>
    <row r="43" ht="24" customHeight="1" s="520">
      <c r="A43" s="531" t="n"/>
      <c r="B43" s="835" t="n"/>
      <c r="C43" s="836" t="n"/>
      <c r="D43" s="837" t="n"/>
      <c r="E43" s="838" t="n"/>
      <c r="F43" s="837" t="n"/>
      <c r="G43" s="838" t="n"/>
      <c r="H43" s="837" t="n"/>
      <c r="I43" s="838" t="n"/>
      <c r="J43" s="839" t="n"/>
      <c r="K43" s="840" t="n"/>
      <c r="L43" s="840" t="n"/>
      <c r="M43" s="840" t="n"/>
      <c r="N43" s="836" t="n"/>
      <c r="O43" s="680" t="n"/>
      <c r="P43" s="839" t="n"/>
      <c r="Q43" s="840" t="n"/>
      <c r="R43" s="840" t="n"/>
      <c r="S43" s="840" t="n"/>
      <c r="T43" s="840" t="n"/>
      <c r="U43" s="836" t="n"/>
      <c r="V43" s="839" t="n"/>
      <c r="W43" s="840" t="n"/>
      <c r="X43" s="836" t="n"/>
      <c r="Y43" s="839" t="n"/>
      <c r="Z43" s="841" t="n"/>
      <c r="AA43" s="834" t="n"/>
      <c r="AB43" s="842" t="n"/>
      <c r="AC43" s="842" t="n"/>
      <c r="AD43" s="842" t="n"/>
      <c r="AE43" s="842" t="n"/>
      <c r="AF43" s="843" t="n"/>
      <c r="AG43" s="843" t="n"/>
      <c r="AH43" s="843" t="n"/>
      <c r="AI43" s="844" t="n"/>
      <c r="AJ43" s="843" t="n"/>
      <c r="AK43" s="844" t="n"/>
      <c r="AL43" s="629" t="n"/>
      <c r="AM43" s="629" t="n"/>
      <c r="AN43" s="629" t="n"/>
      <c r="AO43" s="629" t="n"/>
      <c r="AP43" s="629" t="n"/>
      <c r="AQ43" s="629" t="n"/>
    </row>
    <row r="44" ht="24" customHeight="1" s="520">
      <c r="A44" s="531" t="n"/>
      <c r="B44" s="845" t="n"/>
      <c r="C44" s="846" t="n"/>
      <c r="D44" s="847" t="n"/>
      <c r="E44" s="848" t="n"/>
      <c r="F44" s="847" t="n"/>
      <c r="G44" s="849" t="n"/>
      <c r="H44" s="847" t="n"/>
      <c r="I44" s="849" t="n"/>
      <c r="J44" s="850" t="n"/>
      <c r="K44" s="818" t="n"/>
      <c r="L44" s="818" t="n"/>
      <c r="M44" s="818" t="n"/>
      <c r="N44" s="851" t="n"/>
      <c r="O44" s="852" t="n"/>
      <c r="P44" s="850" t="n"/>
      <c r="Q44" s="818" t="n"/>
      <c r="R44" s="818" t="n"/>
      <c r="S44" s="818" t="n"/>
      <c r="T44" s="818" t="n"/>
      <c r="U44" s="846" t="n"/>
      <c r="V44" s="850" t="n"/>
      <c r="W44" s="818" t="n"/>
      <c r="X44" s="846" t="n"/>
      <c r="Y44" s="850" t="n"/>
      <c r="Z44" s="853" t="n"/>
      <c r="AA44" s="854" t="n"/>
      <c r="AB44" s="842" t="n"/>
      <c r="AC44" s="842" t="n"/>
      <c r="AD44" s="842" t="n"/>
      <c r="AE44" s="842" t="n"/>
      <c r="AF44" s="843" t="n"/>
      <c r="AG44" s="843" t="n"/>
      <c r="AH44" s="843" t="n"/>
      <c r="AI44" s="844" t="n"/>
      <c r="AJ44" s="843" t="n"/>
      <c r="AK44" s="844" t="n"/>
      <c r="AL44" s="629" t="n"/>
      <c r="AM44" s="629" t="n"/>
      <c r="AN44" s="629" t="n"/>
      <c r="AO44" s="629" t="n"/>
      <c r="AP44" s="629" t="n"/>
      <c r="AQ44" s="629" t="n"/>
    </row>
    <row r="45" ht="24" customHeight="1" s="520">
      <c r="A45" s="531" t="n"/>
      <c r="B45" s="567" t="n"/>
      <c r="C45" s="628" t="n"/>
      <c r="D45" s="543" t="n"/>
      <c r="E45" s="543" t="n"/>
      <c r="F45" s="842" t="n"/>
      <c r="G45" s="543" t="n"/>
      <c r="H45" s="543" t="n"/>
      <c r="I45" s="640" t="n"/>
      <c r="J45" s="567" t="n"/>
      <c r="K45" s="567" t="n"/>
      <c r="L45" s="567" t="n"/>
      <c r="M45" s="567" t="n"/>
      <c r="N45" s="567" t="n"/>
      <c r="O45" s="567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67" t="n"/>
      <c r="AB45" s="855" t="n"/>
      <c r="AC45" s="855" t="n"/>
      <c r="AD45" s="855" t="n"/>
      <c r="AE45" s="855" t="n"/>
      <c r="AF45" s="844" t="n"/>
      <c r="AG45" s="844" t="n"/>
      <c r="AH45" s="844" t="n"/>
      <c r="AI45" s="844" t="n"/>
      <c r="AJ45" s="844" t="n"/>
      <c r="AK45" s="844" t="n"/>
      <c r="AL45" s="629" t="n"/>
      <c r="AM45" s="629" t="n"/>
      <c r="AN45" s="629" t="n"/>
      <c r="AO45" s="629" t="n"/>
      <c r="AP45" s="629" t="n"/>
      <c r="AQ45" s="629" t="n"/>
    </row>
    <row r="46" ht="24" customHeight="1" s="520">
      <c r="A46" s="531" t="n"/>
      <c r="B46" s="856" t="n"/>
      <c r="G46" s="543" t="n"/>
      <c r="H46" s="543" t="n"/>
      <c r="I46" s="640" t="n"/>
      <c r="J46" s="567" t="n"/>
      <c r="K46" s="567" t="n"/>
      <c r="L46" s="567" t="n"/>
      <c r="M46" s="567" t="n"/>
      <c r="N46" s="567" t="n"/>
      <c r="O46" s="567" t="n"/>
      <c r="P46" s="543" t="n"/>
      <c r="Q46" s="543" t="n"/>
      <c r="R46" s="543" t="n"/>
      <c r="S46" s="543" t="n"/>
      <c r="T46" s="543" t="n"/>
      <c r="U46" s="842" t="n"/>
      <c r="V46" s="543" t="n"/>
      <c r="W46" s="543" t="n"/>
      <c r="X46" s="842" t="n"/>
      <c r="Y46" s="543" t="n"/>
      <c r="Z46" s="842" t="n"/>
      <c r="AA46" s="819" t="n"/>
      <c r="AB46" s="842" t="n"/>
      <c r="AC46" s="842" t="n"/>
      <c r="AD46" s="819" t="n"/>
      <c r="AE46" s="857" t="n"/>
      <c r="AF46" s="656" t="n"/>
      <c r="AG46" s="656" t="n"/>
      <c r="AH46" s="656" t="n"/>
      <c r="AI46" s="657" t="n"/>
      <c r="AJ46" s="656" t="n"/>
      <c r="AK46" s="657" t="n"/>
      <c r="AL46" s="629" t="n"/>
      <c r="AM46" s="629" t="n"/>
      <c r="AN46" s="629" t="n"/>
      <c r="AO46" s="629" t="n"/>
      <c r="AP46" s="629" t="n"/>
      <c r="AQ46" s="629" t="n"/>
    </row>
    <row r="47" ht="24" customFormat="1" customHeight="1" s="858">
      <c r="A47" s="569" t="n"/>
      <c r="B47" s="820" t="n"/>
      <c r="C47" s="859" t="n"/>
      <c r="D47" s="825" t="n"/>
      <c r="E47" s="823" t="n"/>
      <c r="F47" s="860" t="n"/>
      <c r="H47" s="861" t="n"/>
      <c r="J47" s="862" t="n"/>
      <c r="P47" s="863" t="n"/>
      <c r="R47" s="864" t="n"/>
      <c r="S47" s="864" t="n"/>
      <c r="T47" s="864" t="n"/>
      <c r="U47" s="864" t="n"/>
      <c r="V47" s="865" t="n"/>
      <c r="W47" s="866" t="n"/>
      <c r="X47" s="867" t="n"/>
      <c r="Y47" s="820" t="n"/>
      <c r="AA47" s="868" t="n"/>
      <c r="AB47" s="869" t="n"/>
      <c r="AD47" s="870" t="n"/>
      <c r="AE47" s="871" t="n"/>
      <c r="AF47" s="872" t="n"/>
      <c r="AG47" s="872" t="n"/>
      <c r="AH47" s="872" t="n"/>
      <c r="AI47" s="873" t="n"/>
      <c r="AJ47" s="872" t="n"/>
      <c r="AK47" s="873" t="n"/>
      <c r="AL47" s="537" t="n"/>
      <c r="AM47" s="537" t="n"/>
      <c r="AN47" s="537" t="n"/>
      <c r="AO47" s="537" t="n"/>
      <c r="AP47" s="537" t="n"/>
      <c r="AQ47" s="537" t="n"/>
    </row>
    <row r="48" ht="24" customFormat="1" customHeight="1" s="858">
      <c r="A48" s="569" t="n"/>
      <c r="F48" s="678" t="n"/>
      <c r="J48" s="874" t="n"/>
      <c r="P48" s="875" t="n"/>
      <c r="R48" s="876" t="n"/>
      <c r="S48" s="874" t="n"/>
      <c r="U48" s="874" t="n"/>
      <c r="W48" s="840" t="n"/>
      <c r="X48" s="877" t="n"/>
      <c r="AE48" s="878" t="n"/>
      <c r="AF48" s="656" t="n"/>
      <c r="AG48" s="656" t="n"/>
      <c r="AH48" s="656" t="n"/>
      <c r="AI48" s="657" t="n"/>
      <c r="AJ48" s="843" t="n"/>
      <c r="AK48" s="844" t="n"/>
      <c r="AL48" s="879" t="n"/>
      <c r="AM48" s="879" t="n"/>
      <c r="AN48" s="879" t="n"/>
      <c r="AO48" s="879" t="n"/>
      <c r="AP48" s="537" t="n"/>
      <c r="AQ48" s="537" t="n"/>
    </row>
    <row r="49" ht="24" customFormat="1" customHeight="1" s="858">
      <c r="A49" s="879" t="n"/>
      <c r="B49" s="880" t="n"/>
      <c r="C49" s="881" t="n"/>
      <c r="D49" s="882" t="n"/>
      <c r="E49" s="883" t="n"/>
      <c r="F49" s="884" t="n"/>
      <c r="G49" s="885" t="n"/>
      <c r="H49" s="886" t="n"/>
      <c r="I49" s="887" t="n"/>
      <c r="J49" s="888" t="n"/>
      <c r="P49" s="889" t="n"/>
      <c r="Q49" s="887" t="n"/>
      <c r="R49" s="887" t="n"/>
      <c r="S49" s="889" t="n"/>
      <c r="T49" s="887" t="n"/>
      <c r="U49" s="890" t="n"/>
      <c r="V49" s="887" t="n"/>
      <c r="W49" s="891" t="n"/>
      <c r="X49" s="887" t="n"/>
      <c r="Y49" s="884" t="n"/>
      <c r="Z49" s="887" t="n"/>
      <c r="AA49" s="892" t="n"/>
      <c r="AB49" s="893" t="n"/>
      <c r="AC49" s="885" t="n"/>
      <c r="AD49" s="894" t="n"/>
      <c r="AE49" s="895" t="n"/>
      <c r="AF49" s="872" t="n"/>
      <c r="AG49" s="872" t="n"/>
      <c r="AH49" s="872" t="n"/>
      <c r="AI49" s="873" t="n"/>
      <c r="AJ49" s="872" t="n"/>
      <c r="AK49" s="873" t="n"/>
      <c r="AL49" s="537" t="n"/>
      <c r="AM49" s="537" t="n"/>
      <c r="AN49" s="537" t="n"/>
      <c r="AO49" s="537" t="n"/>
      <c r="AP49" s="537" t="n"/>
      <c r="AQ49" s="537" t="n"/>
    </row>
    <row r="50" ht="24" customFormat="1" customHeight="1" s="858">
      <c r="A50" s="879" t="n"/>
      <c r="B50" s="880" t="n"/>
      <c r="C50" s="881" t="n"/>
      <c r="D50" s="882" t="n"/>
      <c r="E50" s="883" t="n"/>
      <c r="F50" s="884" t="n"/>
      <c r="G50" s="885" t="n"/>
      <c r="H50" s="886" t="n"/>
      <c r="I50" s="887" t="n"/>
      <c r="J50" s="888" t="n"/>
      <c r="P50" s="889" t="n"/>
      <c r="Q50" s="887" t="n"/>
      <c r="R50" s="887" t="n"/>
      <c r="S50" s="889" t="n"/>
      <c r="T50" s="887" t="n"/>
      <c r="U50" s="890" t="n"/>
      <c r="V50" s="887" t="n"/>
      <c r="W50" s="896" t="n"/>
      <c r="X50" s="887" t="n"/>
      <c r="Y50" s="884" t="n"/>
      <c r="Z50" s="887" t="n"/>
      <c r="AA50" s="897" t="n"/>
      <c r="AB50" s="893" t="n"/>
      <c r="AC50" s="885" t="n"/>
      <c r="AD50" s="894" t="n"/>
      <c r="AE50" s="898" t="n"/>
      <c r="AF50" s="843" t="n"/>
      <c r="AG50" s="843" t="n"/>
      <c r="AH50" s="872" t="n"/>
      <c r="AI50" s="873" t="n"/>
      <c r="AJ50" s="872" t="n"/>
      <c r="AK50" s="873" t="n"/>
      <c r="AL50" s="873" t="n"/>
      <c r="AM50" s="537" t="n"/>
      <c r="AN50" s="537" t="n"/>
      <c r="AO50" s="537" t="n"/>
      <c r="AP50" s="537" t="n"/>
      <c r="AQ50" s="537" t="n"/>
    </row>
    <row r="51" ht="24" customFormat="1" customHeight="1" s="858">
      <c r="A51" s="879" t="n"/>
      <c r="B51" s="880" t="n"/>
      <c r="C51" s="881" t="n"/>
      <c r="D51" s="882" t="n"/>
      <c r="E51" s="883" t="n"/>
      <c r="F51" s="884" t="n"/>
      <c r="G51" s="885" t="n"/>
      <c r="H51" s="886" t="n"/>
      <c r="I51" s="887" t="n"/>
      <c r="J51" s="888" t="n"/>
      <c r="P51" s="889" t="n"/>
      <c r="Q51" s="887" t="n"/>
      <c r="R51" s="887" t="n"/>
      <c r="S51" s="889" t="n"/>
      <c r="T51" s="887" t="n"/>
      <c r="U51" s="890" t="n"/>
      <c r="V51" s="887" t="n"/>
      <c r="W51" s="899" t="n"/>
      <c r="X51" s="785" t="n"/>
      <c r="Y51" s="884" t="n"/>
      <c r="Z51" s="887" t="n"/>
      <c r="AA51" s="897" t="n"/>
      <c r="AB51" s="893" t="n"/>
      <c r="AC51" s="885" t="n"/>
      <c r="AD51" s="894" t="n"/>
      <c r="AE51" s="900" t="n"/>
      <c r="AF51" s="843" t="n"/>
      <c r="AG51" s="843" t="n"/>
      <c r="AH51" s="872" t="n"/>
      <c r="AI51" s="873" t="n"/>
      <c r="AJ51" s="872" t="n"/>
      <c r="AK51" s="873" t="n"/>
      <c r="AL51" s="873" t="n"/>
      <c r="AM51" s="537" t="n"/>
      <c r="AN51" s="537" t="n"/>
      <c r="AO51" s="537" t="n"/>
      <c r="AP51" s="537" t="n"/>
      <c r="AQ51" s="537" t="n"/>
    </row>
    <row r="52" ht="24" customFormat="1" customHeight="1" s="858">
      <c r="A52" s="879" t="n"/>
      <c r="B52" s="880" t="n"/>
      <c r="C52" s="881" t="n"/>
      <c r="D52" s="882" t="n"/>
      <c r="E52" s="883" t="n"/>
      <c r="F52" s="884" t="n"/>
      <c r="G52" s="885" t="n"/>
      <c r="H52" s="886" t="n"/>
      <c r="I52" s="887" t="n"/>
      <c r="J52" s="888" t="n"/>
      <c r="P52" s="889" t="n"/>
      <c r="Q52" s="887" t="n"/>
      <c r="R52" s="887" t="n"/>
      <c r="S52" s="889" t="n"/>
      <c r="T52" s="887" t="n"/>
      <c r="U52" s="890" t="n"/>
      <c r="V52" s="887" t="n"/>
      <c r="W52" s="899" t="n"/>
      <c r="X52" s="785" t="n"/>
      <c r="Y52" s="884" t="n"/>
      <c r="Z52" s="887" t="n"/>
      <c r="AA52" s="892" t="n"/>
      <c r="AB52" s="893" t="n"/>
      <c r="AC52" s="885" t="n"/>
      <c r="AD52" s="901" t="n"/>
      <c r="AE52" s="900" t="n"/>
      <c r="AF52" s="843" t="n"/>
      <c r="AG52" s="843" t="n"/>
      <c r="AH52" s="843" t="n"/>
      <c r="AI52" s="844" t="n"/>
      <c r="AJ52" s="843" t="n"/>
      <c r="AK52" s="844" t="n"/>
      <c r="AL52" s="537" t="n"/>
      <c r="AM52" s="537" t="n"/>
      <c r="AN52" s="537" t="n"/>
      <c r="AO52" s="537" t="n"/>
      <c r="AP52" s="537" t="n"/>
      <c r="AQ52" s="537" t="n"/>
    </row>
    <row r="53" ht="24" customFormat="1" customHeight="1" s="858">
      <c r="A53" s="879" t="n"/>
      <c r="B53" s="880" t="n"/>
      <c r="C53" s="881" t="n"/>
      <c r="D53" s="882" t="n"/>
      <c r="E53" s="883" t="n"/>
      <c r="F53" s="884" t="n"/>
      <c r="G53" s="885" t="n"/>
      <c r="H53" s="886" t="n"/>
      <c r="I53" s="887" t="n"/>
      <c r="J53" s="888" t="n"/>
      <c r="P53" s="889" t="n"/>
      <c r="Q53" s="902" t="n"/>
      <c r="R53" s="887" t="n"/>
      <c r="S53" s="889" t="n"/>
      <c r="T53" s="887" t="n"/>
      <c r="U53" s="890" t="n"/>
      <c r="V53" s="887" t="n"/>
      <c r="W53" s="899" t="n"/>
      <c r="X53" s="785" t="n"/>
      <c r="Y53" s="884" t="n"/>
      <c r="Z53" s="887" t="n"/>
      <c r="AA53" s="897" t="n"/>
      <c r="AB53" s="893" t="n"/>
      <c r="AC53" s="885" t="n"/>
      <c r="AD53" s="901" t="n"/>
      <c r="AE53" s="900" t="n"/>
      <c r="AF53" s="843" t="n"/>
      <c r="AG53" s="843" t="n"/>
      <c r="AH53" s="843" t="n"/>
      <c r="AI53" s="844" t="n"/>
      <c r="AJ53" s="843" t="n"/>
      <c r="AK53" s="844" t="n"/>
      <c r="AL53" s="537" t="n"/>
      <c r="AM53" s="537" t="n"/>
      <c r="AN53" s="537" t="n"/>
      <c r="AO53" s="537" t="n"/>
      <c r="AP53" s="537" t="n"/>
      <c r="AQ53" s="537" t="n"/>
    </row>
    <row r="54" ht="24" customFormat="1" customHeight="1" s="858">
      <c r="A54" s="879" t="n"/>
      <c r="B54" s="880" t="n"/>
      <c r="C54" s="881" t="n"/>
      <c r="D54" s="882" t="n"/>
      <c r="E54" s="883" t="n"/>
      <c r="F54" s="884" t="n"/>
      <c r="G54" s="885" t="n"/>
      <c r="H54" s="886" t="n"/>
      <c r="I54" s="887" t="n"/>
      <c r="J54" s="888" t="n"/>
      <c r="P54" s="889" t="n"/>
      <c r="Q54" s="902" t="n"/>
      <c r="R54" s="887" t="n"/>
      <c r="S54" s="889" t="n"/>
      <c r="T54" s="887" t="n"/>
      <c r="U54" s="890" t="n"/>
      <c r="V54" s="887" t="n"/>
      <c r="W54" s="899" t="n"/>
      <c r="X54" s="785" t="n"/>
      <c r="Y54" s="884" t="n"/>
      <c r="Z54" s="887" t="n"/>
      <c r="AA54" s="897" t="n"/>
      <c r="AB54" s="893" t="n"/>
      <c r="AC54" s="885" t="n"/>
      <c r="AD54" s="901" t="n"/>
      <c r="AE54" s="900" t="n"/>
      <c r="AF54" s="843" t="n"/>
      <c r="AG54" s="843" t="n"/>
      <c r="AH54" s="843" t="n"/>
      <c r="AI54" s="844" t="n"/>
      <c r="AJ54" s="843" t="n"/>
      <c r="AK54" s="844" t="n"/>
      <c r="AL54" s="537" t="n"/>
      <c r="AM54" s="537" t="n"/>
      <c r="AN54" s="537" t="n"/>
      <c r="AO54" s="537" t="n"/>
      <c r="AP54" s="537" t="n"/>
      <c r="AQ54" s="537" t="n"/>
    </row>
    <row r="55" ht="24" customFormat="1" customHeight="1" s="858">
      <c r="A55" s="879" t="n"/>
      <c r="B55" s="880" t="n"/>
      <c r="C55" s="881" t="n"/>
      <c r="D55" s="882" t="n"/>
      <c r="E55" s="785" t="n"/>
      <c r="F55" s="903" t="n"/>
      <c r="G55" s="904" t="n"/>
      <c r="H55" s="905" t="n"/>
      <c r="I55" s="785" t="n"/>
      <c r="J55" s="888" t="n"/>
      <c r="P55" s="903" t="n"/>
      <c r="Q55" s="899" t="n"/>
      <c r="R55" s="785" t="n"/>
      <c r="S55" s="903" t="n"/>
      <c r="T55" s="785" t="n"/>
      <c r="U55" s="783" t="n"/>
      <c r="V55" s="785" t="n"/>
      <c r="W55" s="899" t="n"/>
      <c r="X55" s="785" t="n"/>
      <c r="Y55" s="903" t="n"/>
      <c r="Z55" s="785" t="n"/>
      <c r="AA55" s="892" t="n"/>
      <c r="AB55" s="906" t="n"/>
      <c r="AC55" s="904" t="n"/>
      <c r="AD55" s="901" t="n"/>
      <c r="AE55" s="900" t="n"/>
      <c r="AF55" s="843" t="n"/>
      <c r="AG55" s="843" t="n"/>
      <c r="AH55" s="843" t="n"/>
      <c r="AI55" s="844" t="n"/>
      <c r="AJ55" s="843" t="n"/>
      <c r="AK55" s="844" t="n"/>
      <c r="AL55" s="537" t="n"/>
      <c r="AM55" s="537" t="n"/>
      <c r="AN55" s="537" t="n"/>
      <c r="AO55" s="537" t="n"/>
      <c r="AP55" s="537" t="n"/>
      <c r="AQ55" s="537" t="n"/>
    </row>
    <row r="56" ht="24" customFormat="1" customHeight="1" s="858">
      <c r="A56" s="879" t="n"/>
      <c r="B56" s="880" t="n"/>
      <c r="C56" s="881" t="n"/>
      <c r="D56" s="882" t="n"/>
      <c r="E56" s="785" t="n"/>
      <c r="F56" s="903" t="n"/>
      <c r="G56" s="904" t="n"/>
      <c r="H56" s="905" t="n"/>
      <c r="I56" s="785" t="n"/>
      <c r="J56" s="888" t="n"/>
      <c r="P56" s="903" t="n"/>
      <c r="Q56" s="899" t="n"/>
      <c r="R56" s="785" t="n"/>
      <c r="S56" s="903" t="n"/>
      <c r="T56" s="785" t="n"/>
      <c r="U56" s="783" t="n"/>
      <c r="V56" s="785" t="n"/>
      <c r="W56" s="899" t="n"/>
      <c r="X56" s="785" t="n"/>
      <c r="Y56" s="903" t="n"/>
      <c r="Z56" s="785" t="n"/>
      <c r="AA56" s="897" t="n"/>
      <c r="AB56" s="906" t="n"/>
      <c r="AC56" s="904" t="n"/>
      <c r="AD56" s="901" t="n"/>
      <c r="AE56" s="900" t="n"/>
      <c r="AF56" s="843" t="n"/>
      <c r="AG56" s="843" t="n"/>
      <c r="AH56" s="843" t="n"/>
      <c r="AI56" s="844" t="n"/>
      <c r="AJ56" s="843" t="n"/>
      <c r="AK56" s="844" t="n"/>
      <c r="AL56" s="537" t="n"/>
      <c r="AM56" s="537" t="n"/>
      <c r="AN56" s="537" t="n"/>
      <c r="AO56" s="537" t="n"/>
      <c r="AP56" s="537" t="n"/>
      <c r="AQ56" s="537" t="n"/>
    </row>
    <row r="57" ht="24" customFormat="1" customHeight="1" s="858">
      <c r="A57" s="879" t="n"/>
      <c r="B57" s="880" t="n"/>
      <c r="C57" s="881" t="n"/>
      <c r="D57" s="882" t="n"/>
      <c r="E57" s="785" t="n"/>
      <c r="F57" s="903" t="n"/>
      <c r="G57" s="904" t="n"/>
      <c r="H57" s="905" t="n"/>
      <c r="I57" s="785" t="n"/>
      <c r="J57" s="888" t="n"/>
      <c r="P57" s="903" t="n"/>
      <c r="Q57" s="899" t="n"/>
      <c r="R57" s="785" t="n"/>
      <c r="S57" s="903" t="n"/>
      <c r="T57" s="785" t="n"/>
      <c r="U57" s="783" t="n"/>
      <c r="V57" s="785" t="n"/>
      <c r="W57" s="899" t="n"/>
      <c r="X57" s="785" t="n"/>
      <c r="Y57" s="903" t="n"/>
      <c r="Z57" s="785" t="n"/>
      <c r="AA57" s="897" t="n"/>
      <c r="AB57" s="906" t="n"/>
      <c r="AC57" s="904" t="n"/>
      <c r="AD57" s="901" t="n"/>
      <c r="AE57" s="900" t="n"/>
      <c r="AF57" s="843" t="n"/>
      <c r="AG57" s="843" t="n"/>
      <c r="AH57" s="843" t="n"/>
      <c r="AI57" s="844" t="n"/>
      <c r="AJ57" s="843" t="n"/>
      <c r="AK57" s="844" t="n"/>
      <c r="AL57" s="537" t="n"/>
      <c r="AM57" s="537" t="n"/>
      <c r="AN57" s="537" t="n"/>
      <c r="AO57" s="537" t="n"/>
      <c r="AP57" s="537" t="n"/>
      <c r="AQ57" s="537" t="n"/>
    </row>
    <row r="58" ht="24" customFormat="1" customHeight="1" s="858">
      <c r="A58" s="879" t="n"/>
      <c r="B58" s="880" t="n"/>
      <c r="C58" s="881" t="n"/>
      <c r="D58" s="882" t="n"/>
      <c r="E58" s="785" t="n"/>
      <c r="F58" s="903" t="n"/>
      <c r="G58" s="904" t="n"/>
      <c r="H58" s="905" t="n"/>
      <c r="I58" s="785" t="n"/>
      <c r="J58" s="888" t="n"/>
      <c r="P58" s="903" t="n"/>
      <c r="Q58" s="899" t="n"/>
      <c r="R58" s="785" t="n"/>
      <c r="S58" s="903" t="n"/>
      <c r="T58" s="785" t="n"/>
      <c r="U58" s="783" t="n"/>
      <c r="V58" s="785" t="n"/>
      <c r="W58" s="899" t="n"/>
      <c r="X58" s="785" t="n"/>
      <c r="Y58" s="903" t="n"/>
      <c r="Z58" s="785" t="n"/>
      <c r="AA58" s="892" t="n"/>
      <c r="AB58" s="906" t="n"/>
      <c r="AC58" s="904" t="n"/>
      <c r="AD58" s="901" t="n"/>
      <c r="AE58" s="900" t="n"/>
      <c r="AF58" s="843" t="n"/>
      <c r="AG58" s="843" t="n"/>
      <c r="AH58" s="843" t="n"/>
      <c r="AI58" s="844" t="n"/>
      <c r="AJ58" s="843" t="n"/>
      <c r="AK58" s="844" t="n"/>
      <c r="AL58" s="537" t="n"/>
      <c r="AM58" s="537" t="n"/>
      <c r="AN58" s="537" t="n"/>
      <c r="AO58" s="537" t="n"/>
      <c r="AP58" s="537" t="n"/>
      <c r="AQ58" s="537" t="n"/>
    </row>
    <row r="59" ht="24" customFormat="1" customHeight="1" s="907">
      <c r="A59" s="531" t="n"/>
      <c r="B59" s="908" t="n"/>
      <c r="C59" s="909" t="n"/>
      <c r="D59" s="910" t="n"/>
      <c r="E59" s="911" t="n"/>
      <c r="F59" s="886" t="n"/>
      <c r="G59" s="885" t="n"/>
      <c r="H59" s="882" t="n"/>
      <c r="I59" s="887" t="n"/>
      <c r="J59" s="912" t="n"/>
      <c r="P59" s="913" t="n"/>
      <c r="Q59" s="887" t="n"/>
      <c r="R59" s="885" t="n"/>
      <c r="S59" s="914" t="n"/>
      <c r="T59" s="885" t="n"/>
      <c r="U59" s="886" t="n"/>
      <c r="V59" s="887" t="n"/>
      <c r="W59" s="891" t="n"/>
      <c r="X59" s="887" t="n"/>
      <c r="Y59" s="884" t="n"/>
      <c r="Z59" s="887" t="n"/>
      <c r="AA59" s="915" t="n"/>
      <c r="AB59" s="916" t="n"/>
      <c r="AC59" s="887" t="n"/>
      <c r="AD59" s="917" t="n"/>
      <c r="AE59" s="543" t="n"/>
      <c r="AF59" s="768" t="n"/>
      <c r="AG59" s="768" t="n"/>
      <c r="AH59" s="536" t="n"/>
      <c r="AI59" s="537" t="n"/>
      <c r="AJ59" s="536" t="n"/>
      <c r="AK59" s="537" t="n"/>
      <c r="AL59" s="629" t="n"/>
      <c r="AM59" s="629" t="n"/>
      <c r="AN59" s="629" t="n"/>
      <c r="AO59" s="629" t="n"/>
      <c r="AP59" s="629" t="n"/>
      <c r="AQ59" s="629" t="n"/>
    </row>
    <row r="60" ht="10.5" customFormat="1" customHeight="1" s="907">
      <c r="A60" s="531" t="n"/>
      <c r="B60" s="567" t="n"/>
      <c r="C60" s="918" t="n"/>
      <c r="D60" s="857" t="n"/>
      <c r="E60" s="919" t="n"/>
      <c r="F60" s="857" t="n"/>
      <c r="G60" s="842" t="n"/>
      <c r="H60" s="857" t="n"/>
      <c r="I60" s="842" t="n"/>
      <c r="J60" s="857" t="n"/>
      <c r="K60" s="857" t="n"/>
      <c r="L60" s="857" t="n"/>
      <c r="M60" s="857" t="n"/>
      <c r="N60" s="842" t="n"/>
      <c r="O60" s="842" t="n"/>
      <c r="P60" s="920" t="n"/>
      <c r="Q60" s="920" t="n"/>
      <c r="R60" s="920" t="n"/>
      <c r="S60" s="920" t="n"/>
      <c r="T60" s="920" t="n"/>
      <c r="U60" s="842" t="n"/>
      <c r="V60" s="857" t="n"/>
      <c r="W60" s="857" t="n"/>
      <c r="X60" s="842" t="n"/>
      <c r="Y60" s="857" t="n"/>
      <c r="Z60" s="842" t="n"/>
      <c r="AA60" s="921" t="n"/>
      <c r="AB60" s="895" t="n"/>
      <c r="AC60" s="543" t="n"/>
      <c r="AD60" s="543" t="n"/>
      <c r="AE60" s="543" t="n"/>
      <c r="AF60" s="536" t="n"/>
      <c r="AG60" s="536" t="n"/>
      <c r="AH60" s="536" t="n"/>
      <c r="AI60" s="537" t="n"/>
      <c r="AJ60" s="536" t="n"/>
      <c r="AK60" s="537" t="n"/>
      <c r="AL60" s="629" t="n"/>
      <c r="AM60" s="629" t="n"/>
      <c r="AN60" s="629" t="n"/>
      <c r="AO60" s="629" t="n"/>
      <c r="AP60" s="629" t="n"/>
      <c r="AQ60" s="629" t="n"/>
    </row>
    <row r="61" ht="15.95" customHeight="1" s="520">
      <c r="A61" s="531" t="n"/>
      <c r="B61" s="629" t="n"/>
      <c r="C61" s="629" t="n"/>
      <c r="D61" s="629" t="n"/>
      <c r="E61" s="629" t="n"/>
      <c r="F61" s="629" t="n"/>
      <c r="G61" s="629" t="n"/>
      <c r="H61" s="629" t="n"/>
      <c r="I61" s="629" t="n"/>
      <c r="J61" s="629" t="n"/>
      <c r="K61" s="629" t="n"/>
      <c r="L61" s="629" t="n"/>
      <c r="M61" s="629" t="n"/>
      <c r="N61" s="629" t="n"/>
      <c r="O61" s="629" t="n"/>
      <c r="P61" s="629" t="n"/>
      <c r="Q61" s="629" t="n"/>
      <c r="R61" s="629" t="n"/>
      <c r="S61" s="629" t="n"/>
      <c r="T61" s="629" t="n"/>
      <c r="U61" s="629" t="n"/>
      <c r="V61" s="629" t="n"/>
      <c r="W61" s="629" t="n"/>
      <c r="X61" s="629" t="n"/>
      <c r="Y61" s="629" t="n"/>
      <c r="Z61" s="629" t="n"/>
      <c r="AA61" s="629" t="n"/>
      <c r="AB61" s="629" t="n"/>
      <c r="AC61" s="629" t="n"/>
      <c r="AD61" s="629" t="n"/>
      <c r="AE61" s="629" t="n"/>
      <c r="AF61" s="629" t="n"/>
      <c r="AG61" s="629" t="n"/>
      <c r="AH61" s="629" t="n"/>
      <c r="AI61" s="663" t="n"/>
      <c r="AJ61" s="629" t="n"/>
      <c r="AK61" s="663" t="n"/>
      <c r="AL61" s="629" t="n"/>
      <c r="AM61" s="629" t="n"/>
      <c r="AN61" s="629" t="n"/>
      <c r="AO61" s="629" t="n"/>
      <c r="AP61" s="629" t="n"/>
      <c r="AQ61" s="629" t="n"/>
    </row>
    <row r="62" ht="15.95" customHeight="1" s="520">
      <c r="A62" s="531" t="n"/>
      <c r="B62" s="629" t="n"/>
      <c r="C62" s="629" t="n"/>
      <c r="D62" s="629" t="n"/>
      <c r="E62" s="629" t="n"/>
      <c r="F62" s="629" t="n"/>
      <c r="G62" s="629" t="n"/>
      <c r="H62" s="629" t="n"/>
      <c r="I62" s="629" t="n"/>
      <c r="J62" s="629" t="n"/>
      <c r="K62" s="629" t="n"/>
      <c r="L62" s="629" t="n"/>
      <c r="M62" s="629" t="n"/>
      <c r="N62" s="629" t="n"/>
      <c r="O62" s="629" t="n"/>
      <c r="P62" s="629" t="n"/>
      <c r="Q62" s="629" t="n"/>
      <c r="R62" s="629" t="n"/>
      <c r="S62" s="629" t="n"/>
      <c r="T62" s="629" t="n"/>
      <c r="U62" s="629" t="n"/>
      <c r="V62" s="629" t="n"/>
      <c r="W62" s="629" t="n"/>
      <c r="X62" s="629" t="n"/>
      <c r="Y62" s="629" t="n"/>
      <c r="Z62" s="629" t="n"/>
      <c r="AA62" s="629" t="n"/>
      <c r="AB62" s="629" t="n"/>
      <c r="AC62" s="629" t="n"/>
      <c r="AD62" s="629" t="n"/>
      <c r="AE62" s="629" t="n"/>
      <c r="AF62" s="629" t="n"/>
      <c r="AG62" s="629" t="n"/>
      <c r="AH62" s="629" t="n"/>
      <c r="AI62" s="663" t="n"/>
      <c r="AJ62" s="629" t="n"/>
      <c r="AK62" s="663" t="n"/>
      <c r="AL62" s="629" t="n"/>
      <c r="AM62" s="629" t="n"/>
      <c r="AN62" s="629" t="n"/>
      <c r="AO62" s="629" t="n"/>
      <c r="AP62" s="629" t="n"/>
      <c r="AQ62" s="629" t="n"/>
    </row>
    <row r="63" ht="15.95" customHeight="1" s="520">
      <c r="A63" s="531" t="n"/>
      <c r="B63" s="629" t="n"/>
      <c r="C63" s="629" t="n"/>
      <c r="D63" s="629" t="n"/>
      <c r="E63" s="629" t="n"/>
      <c r="F63" s="629" t="n"/>
      <c r="G63" s="629" t="n"/>
      <c r="H63" s="629" t="n"/>
      <c r="I63" s="629" t="n"/>
      <c r="J63" s="629" t="n"/>
      <c r="K63" s="629" t="n"/>
      <c r="L63" s="629" t="n"/>
      <c r="M63" s="646" t="n"/>
      <c r="N63" s="629" t="n"/>
      <c r="O63" s="629" t="n"/>
      <c r="P63" s="629" t="n"/>
      <c r="Q63" s="629" t="n"/>
      <c r="R63" s="629" t="n"/>
      <c r="S63" s="629" t="n"/>
      <c r="T63" s="629" t="n"/>
      <c r="U63" s="629" t="n"/>
      <c r="V63" s="629" t="n"/>
      <c r="W63" s="629" t="n"/>
      <c r="X63" s="629" t="n"/>
      <c r="Y63" s="629" t="n"/>
      <c r="Z63" s="629" t="n"/>
      <c r="AA63" s="629" t="n"/>
      <c r="AB63" s="629" t="n"/>
      <c r="AC63" s="629" t="n"/>
      <c r="AD63" s="629" t="n"/>
      <c r="AE63" s="629" t="n"/>
      <c r="AF63" s="629" t="n"/>
      <c r="AG63" s="629" t="n"/>
      <c r="AH63" s="629" t="n"/>
      <c r="AI63" s="663" t="n"/>
      <c r="AJ63" s="629" t="n"/>
      <c r="AK63" s="663" t="n"/>
      <c r="AL63" s="629" t="n"/>
      <c r="AM63" s="629" t="n"/>
      <c r="AN63" s="629" t="n"/>
      <c r="AO63" s="629" t="n"/>
      <c r="AP63" s="629" t="n"/>
      <c r="AQ63" s="629" t="n"/>
    </row>
    <row r="64" ht="15.95" customHeight="1" s="520">
      <c r="A64" s="531" t="n"/>
      <c r="B64" s="629" t="n"/>
      <c r="C64" s="629" t="n"/>
      <c r="D64" s="629" t="n"/>
      <c r="E64" s="629" t="n"/>
      <c r="F64" s="629" t="n"/>
      <c r="G64" s="629" t="n"/>
      <c r="H64" s="629" t="n"/>
      <c r="I64" s="629" t="n"/>
      <c r="J64" s="629" t="n"/>
      <c r="K64" s="629" t="n"/>
      <c r="L64" s="629" t="n"/>
      <c r="M64" s="629" t="n"/>
      <c r="N64" s="629" t="n"/>
      <c r="O64" s="629" t="n"/>
      <c r="P64" s="629" t="n"/>
      <c r="Q64" s="629" t="n"/>
      <c r="R64" s="629" t="n"/>
      <c r="S64" s="629" t="n"/>
      <c r="T64" s="629" t="n"/>
      <c r="U64" s="629" t="n"/>
      <c r="V64" s="629" t="n"/>
      <c r="W64" s="629" t="n"/>
      <c r="X64" s="629" t="n"/>
      <c r="Y64" s="629" t="n"/>
      <c r="Z64" s="629" t="n"/>
      <c r="AA64" s="629" t="n"/>
      <c r="AB64" s="629" t="n"/>
      <c r="AC64" s="629" t="n"/>
      <c r="AD64" s="629" t="n"/>
      <c r="AE64" s="629" t="n"/>
      <c r="AF64" s="629" t="n"/>
      <c r="AG64" s="629" t="n"/>
      <c r="AH64" s="629" t="n"/>
      <c r="AI64" s="663" t="n"/>
      <c r="AJ64" s="629" t="n"/>
      <c r="AK64" s="663" t="n"/>
      <c r="AL64" s="629" t="n"/>
      <c r="AM64" s="629" t="n"/>
      <c r="AN64" s="629" t="n"/>
      <c r="AO64" s="629" t="n"/>
      <c r="AP64" s="629" t="n"/>
      <c r="AQ64" s="629" t="n"/>
    </row>
    <row r="65" ht="15.95" customHeight="1" s="520">
      <c r="A65" s="531" t="n"/>
      <c r="B65" s="629" t="n"/>
      <c r="C65" s="629" t="n"/>
      <c r="D65" s="629" t="n"/>
      <c r="E65" s="629" t="n"/>
      <c r="F65" s="629" t="n"/>
      <c r="G65" s="629" t="n"/>
      <c r="H65" s="629" t="n"/>
      <c r="I65" s="629" t="n"/>
      <c r="J65" s="629" t="n"/>
      <c r="K65" s="629" t="n"/>
      <c r="L65" s="629" t="n"/>
      <c r="M65" s="629" t="n"/>
      <c r="N65" s="629" t="n"/>
      <c r="O65" s="629" t="n"/>
      <c r="P65" s="629" t="n"/>
      <c r="Q65" s="629" t="n"/>
      <c r="R65" s="629" t="n"/>
      <c r="S65" s="629" t="n"/>
      <c r="T65" s="629" t="n"/>
      <c r="U65" s="629" t="n"/>
      <c r="V65" s="629" t="n"/>
      <c r="W65" s="629" t="n"/>
      <c r="X65" s="629" t="n"/>
      <c r="Y65" s="629" t="n"/>
      <c r="Z65" s="629" t="n"/>
      <c r="AA65" s="629" t="n"/>
      <c r="AB65" s="629" t="n"/>
      <c r="AC65" s="629" t="n"/>
      <c r="AD65" s="629" t="n"/>
      <c r="AE65" s="629" t="n"/>
      <c r="AF65" s="629" t="n"/>
      <c r="AG65" s="629" t="n"/>
      <c r="AH65" s="629" t="n"/>
      <c r="AI65" s="663" t="n"/>
      <c r="AJ65" s="629" t="n"/>
      <c r="AK65" s="663" t="n"/>
      <c r="AL65" s="629" t="n"/>
      <c r="AM65" s="629" t="n"/>
      <c r="AN65" s="629" t="n"/>
      <c r="AO65" s="629" t="n"/>
      <c r="AP65" s="629" t="n"/>
      <c r="AQ65" s="629" t="n"/>
    </row>
    <row r="66" ht="15.95" customHeight="1" s="520">
      <c r="A66" s="531" t="n"/>
      <c r="B66" s="629" t="n"/>
      <c r="C66" s="629" t="n"/>
      <c r="D66" s="629" t="n"/>
      <c r="E66" s="629" t="n"/>
      <c r="F66" s="629" t="n"/>
      <c r="G66" s="629" t="n"/>
      <c r="H66" s="922" t="n"/>
      <c r="I66" s="922" t="n"/>
      <c r="J66" s="923" t="n"/>
      <c r="K66" s="629" t="n"/>
      <c r="L66" s="629" t="n"/>
      <c r="M66" s="629" t="n"/>
      <c r="N66" s="629" t="n"/>
      <c r="O66" s="629" t="n"/>
      <c r="P66" s="629" t="n"/>
      <c r="Q66" s="629" t="n"/>
      <c r="R66" s="629" t="n"/>
      <c r="S66" s="629" t="n"/>
      <c r="T66" s="629" t="n"/>
      <c r="U66" s="629" t="n"/>
      <c r="V66" s="629" t="n"/>
      <c r="W66" s="629" t="n"/>
      <c r="X66" s="629" t="n"/>
      <c r="Y66" s="629" t="n"/>
      <c r="Z66" s="629" t="n"/>
      <c r="AA66" s="629" t="n"/>
      <c r="AB66" s="629" t="n"/>
      <c r="AC66" s="629" t="n"/>
      <c r="AD66" s="629" t="n"/>
      <c r="AE66" s="629" t="n"/>
      <c r="AF66" s="629" t="n"/>
      <c r="AG66" s="629" t="n"/>
      <c r="AH66" s="629" t="n"/>
      <c r="AI66" s="663" t="n"/>
      <c r="AJ66" s="629" t="n"/>
      <c r="AK66" s="663" t="n"/>
      <c r="AL66" s="629" t="n"/>
      <c r="AM66" s="629" t="n"/>
      <c r="AN66" s="629" t="n"/>
      <c r="AO66" s="629" t="n"/>
      <c r="AP66" s="629" t="n"/>
      <c r="AQ66" s="629" t="n"/>
    </row>
    <row r="67" ht="15.95" customHeight="1" s="520">
      <c r="A67" s="531" t="n"/>
      <c r="B67" s="629" t="n"/>
      <c r="C67" s="629" t="n"/>
      <c r="D67" s="629" t="n"/>
      <c r="E67" s="629" t="n"/>
      <c r="F67" s="629" t="n"/>
      <c r="G67" s="629" t="n"/>
      <c r="H67" s="922" t="n"/>
      <c r="I67" s="922" t="n"/>
      <c r="J67" s="923" t="n"/>
      <c r="K67" s="629" t="n"/>
      <c r="L67" s="629" t="n"/>
      <c r="M67" s="629" t="n"/>
      <c r="N67" s="629" t="n"/>
      <c r="O67" s="629" t="n"/>
      <c r="P67" s="629" t="n"/>
      <c r="Q67" s="629" t="n"/>
      <c r="R67" s="629" t="n"/>
      <c r="S67" s="629" t="n"/>
      <c r="T67" s="629" t="n"/>
      <c r="U67" s="629" t="n"/>
      <c r="V67" s="629" t="n"/>
      <c r="W67" s="629" t="n"/>
      <c r="X67" s="629" t="n"/>
      <c r="Y67" s="629" t="n"/>
      <c r="Z67" s="629" t="n"/>
      <c r="AA67" s="629" t="n"/>
      <c r="AB67" s="629" t="n"/>
      <c r="AC67" s="629" t="n"/>
      <c r="AD67" s="629" t="n"/>
      <c r="AE67" s="629" t="n"/>
      <c r="AF67" s="629" t="n"/>
      <c r="AG67" s="629" t="n"/>
      <c r="AH67" s="629" t="n"/>
      <c r="AI67" s="663" t="n"/>
      <c r="AJ67" s="629" t="n"/>
      <c r="AK67" s="663" t="n"/>
      <c r="AL67" s="629" t="n"/>
      <c r="AM67" s="629" t="n"/>
      <c r="AN67" s="629" t="n"/>
      <c r="AO67" s="629" t="n"/>
      <c r="AP67" s="629" t="n"/>
      <c r="AQ67" s="629" t="n"/>
    </row>
    <row r="68" ht="15.95" customHeight="1" s="520">
      <c r="A68" s="531" t="n"/>
      <c r="B68" s="629" t="n"/>
      <c r="C68" s="629" t="n"/>
      <c r="D68" s="629" t="n"/>
      <c r="E68" s="629" t="n"/>
      <c r="F68" s="629" t="n"/>
      <c r="G68" s="629" t="n"/>
      <c r="H68" s="922" t="n"/>
      <c r="I68" s="922" t="n"/>
      <c r="J68" s="922" t="n"/>
      <c r="K68" s="629" t="n"/>
      <c r="L68" s="629" t="n"/>
      <c r="M68" s="629" t="n"/>
      <c r="N68" s="629" t="n"/>
      <c r="O68" s="629" t="n"/>
      <c r="P68" s="629" t="n"/>
      <c r="Q68" s="629" t="n"/>
      <c r="R68" s="629" t="n"/>
      <c r="S68" s="629" t="n"/>
      <c r="T68" s="629" t="n"/>
      <c r="U68" s="629" t="n"/>
      <c r="V68" s="629" t="n"/>
      <c r="W68" s="629" t="n"/>
      <c r="X68" s="629" t="n"/>
      <c r="Y68" s="629" t="n"/>
      <c r="Z68" s="629" t="n"/>
      <c r="AA68" s="629" t="n"/>
      <c r="AB68" s="629" t="n"/>
      <c r="AC68" s="629" t="n"/>
      <c r="AD68" s="629" t="n"/>
      <c r="AE68" s="629" t="n"/>
      <c r="AF68" s="629" t="n"/>
      <c r="AG68" s="629" t="n"/>
      <c r="AH68" s="629" t="n"/>
      <c r="AI68" s="663" t="n"/>
      <c r="AJ68" s="629" t="n"/>
      <c r="AK68" s="663" t="n"/>
      <c r="AL68" s="629" t="n"/>
      <c r="AM68" s="629" t="n"/>
      <c r="AN68" s="629" t="n"/>
      <c r="AO68" s="629" t="n"/>
      <c r="AP68" s="629" t="n"/>
      <c r="AQ68" s="629" t="n"/>
    </row>
    <row r="69" ht="15.95" customHeight="1" s="520">
      <c r="A69" s="531" t="n"/>
      <c r="B69" s="629" t="n"/>
      <c r="C69" s="629" t="n"/>
      <c r="D69" s="629" t="n"/>
      <c r="E69" s="629" t="n"/>
      <c r="F69" s="629" t="n"/>
      <c r="G69" s="629" t="n"/>
      <c r="H69" s="629" t="n"/>
      <c r="I69" s="629" t="n"/>
      <c r="J69" s="629" t="n"/>
      <c r="K69" s="629" t="n"/>
      <c r="L69" s="629" t="n"/>
      <c r="M69" s="629" t="n"/>
      <c r="N69" s="629" t="n"/>
      <c r="O69" s="629" t="n"/>
      <c r="P69" s="629" t="n"/>
      <c r="Q69" s="629" t="n"/>
      <c r="R69" s="629" t="n"/>
      <c r="S69" s="629" t="n"/>
      <c r="T69" s="629" t="n"/>
      <c r="U69" s="629" t="n"/>
      <c r="V69" s="629" t="n"/>
      <c r="W69" s="629" t="n"/>
      <c r="X69" s="629" t="n"/>
      <c r="Y69" s="629" t="n"/>
      <c r="Z69" s="629" t="n"/>
      <c r="AA69" s="629" t="n"/>
      <c r="AB69" s="629" t="n"/>
      <c r="AC69" s="629" t="n"/>
      <c r="AD69" s="629" t="n"/>
      <c r="AE69" s="629" t="n"/>
      <c r="AF69" s="629" t="n"/>
      <c r="AG69" s="629" t="n"/>
      <c r="AH69" s="629" t="n"/>
      <c r="AI69" s="663" t="n"/>
      <c r="AJ69" s="629" t="n"/>
      <c r="AK69" s="663" t="n"/>
      <c r="AL69" s="629" t="n"/>
      <c r="AM69" s="629" t="n"/>
      <c r="AN69" s="629" t="n"/>
      <c r="AO69" s="629" t="n"/>
      <c r="AP69" s="629" t="n"/>
      <c r="AQ69" s="629" t="n"/>
    </row>
    <row r="70" ht="15.95" customHeight="1" s="520">
      <c r="A70" s="531" t="n"/>
      <c r="B70" s="629" t="n"/>
      <c r="C70" s="629" t="n"/>
      <c r="D70" s="629" t="n"/>
      <c r="E70" s="629" t="n"/>
      <c r="F70" s="629" t="n"/>
      <c r="G70" s="629" t="n"/>
      <c r="H70" s="629" t="n"/>
      <c r="I70" s="629" t="n"/>
      <c r="J70" s="629" t="n"/>
      <c r="K70" s="629" t="n"/>
      <c r="L70" s="629" t="n"/>
      <c r="M70" s="629" t="n"/>
      <c r="N70" s="629" t="n"/>
      <c r="O70" s="629" t="n"/>
      <c r="P70" s="646" t="n"/>
      <c r="Q70" s="629" t="n"/>
      <c r="R70" s="629" t="n"/>
      <c r="S70" s="629" t="n"/>
      <c r="T70" s="629" t="n"/>
      <c r="U70" s="629" t="n"/>
      <c r="V70" s="629" t="n"/>
      <c r="W70" s="629" t="n"/>
      <c r="X70" s="629" t="n"/>
      <c r="Y70" s="629" t="n"/>
      <c r="Z70" s="629" t="n"/>
      <c r="AA70" s="629" t="n"/>
      <c r="AB70" s="629" t="n"/>
      <c r="AC70" s="629" t="n"/>
      <c r="AD70" s="629" t="n"/>
      <c r="AE70" s="629" t="n"/>
      <c r="AF70" s="629" t="n"/>
      <c r="AG70" s="629" t="n"/>
      <c r="AH70" s="629" t="n"/>
      <c r="AI70" s="663" t="n"/>
      <c r="AJ70" s="629" t="n"/>
      <c r="AK70" s="663" t="n"/>
      <c r="AL70" s="629" t="n"/>
      <c r="AM70" s="629" t="n"/>
      <c r="AN70" s="629" t="n"/>
      <c r="AO70" s="629" t="n"/>
      <c r="AP70" s="629" t="n"/>
      <c r="AQ70" s="629" t="n"/>
    </row>
    <row r="71" ht="15.95" customHeight="1" s="520">
      <c r="A71" s="531" t="n"/>
      <c r="B71" s="629" t="n"/>
      <c r="C71" s="629" t="n"/>
      <c r="D71" s="629" t="n"/>
      <c r="E71" s="629" t="n"/>
      <c r="F71" s="629" t="n"/>
      <c r="G71" s="629" t="n"/>
      <c r="H71" s="629" t="n"/>
      <c r="I71" s="629" t="n"/>
      <c r="J71" s="629" t="n"/>
      <c r="K71" s="629" t="n"/>
      <c r="L71" s="629" t="n"/>
      <c r="M71" s="629" t="n"/>
      <c r="N71" s="629" t="n"/>
      <c r="O71" s="629" t="n"/>
      <c r="P71" s="629" t="n"/>
      <c r="Q71" s="629" t="n"/>
      <c r="R71" s="629" t="n"/>
      <c r="S71" s="629" t="n"/>
      <c r="T71" s="629" t="n"/>
      <c r="U71" s="629" t="n"/>
      <c r="V71" s="629" t="n"/>
      <c r="W71" s="629" t="n"/>
      <c r="X71" s="629" t="n"/>
      <c r="Y71" s="629" t="n"/>
      <c r="Z71" s="629" t="n"/>
      <c r="AA71" s="629" t="n"/>
      <c r="AB71" s="629" t="n"/>
      <c r="AC71" s="629" t="n"/>
      <c r="AD71" s="629" t="n"/>
      <c r="AE71" s="629" t="n"/>
      <c r="AF71" s="629" t="n"/>
      <c r="AG71" s="629" t="n"/>
      <c r="AH71" s="629" t="n"/>
      <c r="AI71" s="663" t="n"/>
      <c r="AJ71" s="629" t="n"/>
      <c r="AK71" s="663" t="n"/>
      <c r="AL71" s="629" t="n"/>
      <c r="AM71" s="629" t="n"/>
      <c r="AN71" s="629" t="n"/>
      <c r="AO71" s="629" t="n"/>
      <c r="AP71" s="629" t="n"/>
      <c r="AQ71" s="629" t="n"/>
    </row>
    <row r="72" ht="15.95" customHeight="1" s="520">
      <c r="A72" s="531" t="n"/>
      <c r="B72" s="629" t="n"/>
      <c r="C72" s="629" t="n"/>
      <c r="D72" s="629" t="n"/>
      <c r="E72" s="629" t="n"/>
      <c r="F72" s="629" t="n"/>
      <c r="G72" s="629" t="n"/>
      <c r="H72" s="629" t="n"/>
      <c r="I72" s="629" t="n"/>
      <c r="J72" s="629" t="n"/>
      <c r="K72" s="629" t="n"/>
      <c r="L72" s="629" t="n"/>
      <c r="M72" s="629" t="n"/>
      <c r="N72" s="629" t="n"/>
      <c r="O72" s="629" t="n"/>
      <c r="P72" s="629" t="n"/>
      <c r="Q72" s="629" t="n"/>
      <c r="R72" s="629" t="n"/>
      <c r="S72" s="629" t="n"/>
      <c r="T72" s="629" t="n"/>
      <c r="U72" s="629" t="n"/>
      <c r="V72" s="629" t="n"/>
      <c r="W72" s="629" t="n"/>
      <c r="X72" s="629" t="n"/>
      <c r="Y72" s="629" t="n"/>
      <c r="Z72" s="629" t="n"/>
      <c r="AA72" s="629" t="n"/>
      <c r="AB72" s="629" t="n"/>
      <c r="AC72" s="629" t="n"/>
      <c r="AD72" s="629" t="n"/>
      <c r="AE72" s="629" t="n"/>
      <c r="AF72" s="629" t="n"/>
      <c r="AG72" s="629" t="n"/>
      <c r="AH72" s="629" t="n"/>
      <c r="AI72" s="663" t="n"/>
      <c r="AJ72" s="629" t="n"/>
      <c r="AK72" s="663" t="n"/>
      <c r="AL72" s="629" t="n"/>
      <c r="AM72" s="629" t="n"/>
      <c r="AN72" s="629" t="n"/>
      <c r="AO72" s="629" t="n"/>
      <c r="AP72" s="629" t="n"/>
      <c r="AQ72" s="629" t="n"/>
    </row>
    <row r="73" ht="15.95" customHeight="1" s="520">
      <c r="A73" s="531" t="n"/>
      <c r="B73" s="629" t="n"/>
      <c r="C73" s="629" t="n"/>
      <c r="D73" s="629" t="n"/>
      <c r="E73" s="629" t="n"/>
      <c r="F73" s="629" t="n"/>
      <c r="G73" s="629" t="n"/>
      <c r="H73" s="629" t="n"/>
      <c r="I73" s="629" t="n"/>
      <c r="J73" s="629" t="n"/>
      <c r="K73" s="629" t="n"/>
      <c r="L73" s="629" t="n"/>
      <c r="M73" s="629" t="n"/>
      <c r="N73" s="629" t="n"/>
      <c r="O73" s="629" t="n"/>
      <c r="P73" s="629" t="n"/>
      <c r="Q73" s="629" t="n"/>
      <c r="R73" s="629" t="n"/>
      <c r="S73" s="629" t="n"/>
      <c r="T73" s="629" t="n"/>
      <c r="U73" s="629" t="n"/>
      <c r="V73" s="629" t="n"/>
      <c r="W73" s="629" t="n"/>
      <c r="X73" s="629" t="n"/>
      <c r="Y73" s="629" t="n"/>
      <c r="Z73" s="629" t="n"/>
      <c r="AA73" s="629" t="n"/>
      <c r="AB73" s="629" t="n"/>
      <c r="AC73" s="629" t="n"/>
      <c r="AD73" s="629" t="n"/>
      <c r="AE73" s="629" t="n"/>
      <c r="AF73" s="629" t="n"/>
      <c r="AG73" s="629" t="n"/>
      <c r="AH73" s="629" t="n"/>
      <c r="AI73" s="663" t="n"/>
      <c r="AJ73" s="629" t="n"/>
      <c r="AK73" s="663" t="n"/>
      <c r="AL73" s="629" t="n"/>
      <c r="AM73" s="629" t="n"/>
      <c r="AN73" s="629" t="n"/>
      <c r="AO73" s="629" t="n"/>
      <c r="AP73" s="629" t="n"/>
      <c r="AQ73" s="629" t="n"/>
    </row>
    <row r="74" ht="15.95" customHeight="1" s="520">
      <c r="A74" s="531" t="n"/>
      <c r="B74" s="629" t="n"/>
      <c r="C74" s="629" t="n"/>
      <c r="D74" s="629" t="n"/>
      <c r="E74" s="629" t="n"/>
      <c r="F74" s="629" t="n"/>
      <c r="G74" s="629" t="n"/>
      <c r="H74" s="629" t="n"/>
      <c r="I74" s="629" t="n"/>
      <c r="J74" s="629" t="n"/>
      <c r="K74" s="629" t="n"/>
      <c r="L74" s="629" t="n"/>
      <c r="M74" s="629" t="n"/>
      <c r="N74" s="629" t="n"/>
      <c r="O74" s="629" t="n"/>
      <c r="P74" s="629" t="n"/>
      <c r="Q74" s="629" t="n"/>
      <c r="R74" s="629" t="n"/>
      <c r="S74" s="629" t="n"/>
      <c r="T74" s="629" t="n"/>
      <c r="U74" s="629" t="n"/>
      <c r="V74" s="629" t="n"/>
      <c r="W74" s="629" t="n"/>
      <c r="X74" s="629" t="n"/>
      <c r="Y74" s="629" t="n"/>
      <c r="Z74" s="629" t="n"/>
      <c r="AA74" s="629" t="n"/>
      <c r="AB74" s="629" t="n"/>
      <c r="AC74" s="629" t="n"/>
      <c r="AD74" s="629" t="n"/>
      <c r="AE74" s="629" t="n"/>
      <c r="AF74" s="629" t="n"/>
      <c r="AG74" s="629" t="n"/>
      <c r="AH74" s="629" t="n"/>
      <c r="AI74" s="663" t="n"/>
      <c r="AJ74" s="629" t="n"/>
      <c r="AK74" s="663" t="n"/>
      <c r="AL74" s="629" t="n"/>
      <c r="AM74" s="629" t="n"/>
      <c r="AN74" s="629" t="n"/>
      <c r="AO74" s="629" t="n"/>
      <c r="AP74" s="629" t="n"/>
      <c r="AQ74" s="629" t="n"/>
    </row>
    <row r="75" ht="15.95" customHeight="1" s="520">
      <c r="A75" s="531" t="n"/>
      <c r="B75" s="629" t="n"/>
      <c r="C75" s="629" t="n"/>
      <c r="D75" s="629" t="n"/>
      <c r="E75" s="629" t="n"/>
      <c r="F75" s="629" t="n"/>
      <c r="G75" s="629" t="n"/>
      <c r="H75" s="629" t="n"/>
      <c r="I75" s="629" t="n"/>
      <c r="J75" s="629" t="n"/>
      <c r="K75" s="629" t="n"/>
      <c r="L75" s="629" t="n"/>
      <c r="M75" s="629" t="n"/>
      <c r="N75" s="629" t="n"/>
      <c r="O75" s="629" t="n"/>
      <c r="P75" s="629" t="n"/>
      <c r="Q75" s="629" t="n"/>
      <c r="R75" s="629" t="n"/>
      <c r="S75" s="629" t="n"/>
      <c r="T75" s="629" t="n"/>
      <c r="U75" s="629" t="n"/>
      <c r="V75" s="629" t="n"/>
      <c r="W75" s="629" t="n"/>
      <c r="X75" s="629" t="n"/>
      <c r="Y75" s="629" t="n"/>
      <c r="Z75" s="629" t="n"/>
      <c r="AA75" s="629" t="n"/>
      <c r="AB75" s="629" t="n"/>
      <c r="AC75" s="629" t="n"/>
      <c r="AD75" s="629" t="n"/>
      <c r="AE75" s="629" t="n"/>
      <c r="AF75" s="629" t="n"/>
      <c r="AG75" s="629" t="n"/>
      <c r="AH75" s="629" t="n"/>
      <c r="AI75" s="663" t="n"/>
      <c r="AJ75" s="629" t="n"/>
      <c r="AK75" s="663" t="n"/>
      <c r="AL75" s="629" t="n"/>
      <c r="AM75" s="629" t="n"/>
      <c r="AN75" s="629" t="n"/>
      <c r="AO75" s="629" t="n"/>
      <c r="AP75" s="629" t="n"/>
      <c r="AQ75" s="629" t="n"/>
    </row>
    <row r="76" ht="15.95" customHeight="1" s="520">
      <c r="A76" s="531" t="n"/>
      <c r="B76" s="629" t="n"/>
      <c r="C76" s="629" t="n"/>
      <c r="D76" s="629" t="n"/>
      <c r="E76" s="629" t="n"/>
      <c r="F76" s="629" t="n"/>
      <c r="G76" s="629" t="n"/>
      <c r="H76" s="629" t="n"/>
      <c r="I76" s="629" t="n"/>
      <c r="J76" s="629" t="n"/>
      <c r="K76" s="629" t="n"/>
      <c r="L76" s="629" t="n"/>
      <c r="M76" s="629" t="n"/>
      <c r="N76" s="629" t="n"/>
      <c r="O76" s="629" t="n"/>
      <c r="P76" s="629" t="n"/>
      <c r="Q76" s="629" t="n"/>
      <c r="R76" s="629" t="n"/>
      <c r="S76" s="629" t="n"/>
      <c r="T76" s="629" t="n"/>
      <c r="U76" s="629" t="n"/>
      <c r="V76" s="629" t="n"/>
      <c r="W76" s="629" t="n"/>
      <c r="X76" s="629" t="n"/>
      <c r="Y76" s="629" t="n"/>
      <c r="Z76" s="629" t="n"/>
      <c r="AA76" s="629" t="n"/>
      <c r="AB76" s="629" t="n"/>
      <c r="AC76" s="629" t="n"/>
      <c r="AD76" s="629" t="n"/>
      <c r="AE76" s="629" t="n"/>
      <c r="AF76" s="629" t="n"/>
      <c r="AG76" s="629" t="n"/>
      <c r="AH76" s="629" t="n"/>
      <c r="AI76" s="663" t="n"/>
      <c r="AJ76" s="629" t="n"/>
      <c r="AK76" s="663" t="n"/>
      <c r="AL76" s="629" t="n"/>
      <c r="AM76" s="629" t="n"/>
      <c r="AN76" s="629" t="n"/>
      <c r="AO76" s="629" t="n"/>
      <c r="AP76" s="629" t="n"/>
      <c r="AQ76" s="629" t="n"/>
    </row>
    <row r="77" ht="15.95" customHeight="1" s="520">
      <c r="A77" s="531" t="n"/>
      <c r="B77" s="629" t="n"/>
      <c r="C77" s="629" t="n"/>
      <c r="D77" s="629" t="n"/>
      <c r="E77" s="629" t="n"/>
      <c r="F77" s="629" t="n"/>
      <c r="G77" s="629" t="n"/>
      <c r="H77" s="629" t="n"/>
      <c r="I77" s="629" t="n"/>
      <c r="J77" s="629" t="n"/>
      <c r="K77" s="629" t="n"/>
      <c r="L77" s="629" t="n"/>
      <c r="M77" s="629" t="n"/>
      <c r="N77" s="629" t="n"/>
      <c r="O77" s="629" t="n"/>
      <c r="P77" s="629" t="n"/>
      <c r="Q77" s="629" t="n"/>
      <c r="R77" s="629" t="n"/>
      <c r="S77" s="629" t="n"/>
      <c r="T77" s="629" t="n"/>
      <c r="U77" s="629" t="n"/>
      <c r="V77" s="629" t="n"/>
      <c r="W77" s="629" t="n"/>
      <c r="X77" s="629" t="n"/>
      <c r="Y77" s="629" t="n"/>
      <c r="Z77" s="629" t="n"/>
      <c r="AA77" s="629" t="n"/>
      <c r="AB77" s="629" t="n"/>
      <c r="AC77" s="629" t="n"/>
      <c r="AD77" s="629" t="n"/>
      <c r="AE77" s="629" t="n"/>
      <c r="AF77" s="629" t="n"/>
      <c r="AG77" s="629" t="n"/>
      <c r="AH77" s="629" t="n"/>
      <c r="AI77" s="663" t="n"/>
      <c r="AJ77" s="629" t="n"/>
      <c r="AK77" s="663" t="n"/>
      <c r="AL77" s="629" t="n"/>
      <c r="AM77" s="629" t="n"/>
      <c r="AN77" s="629" t="n"/>
      <c r="AO77" s="629" t="n"/>
      <c r="AP77" s="629" t="n"/>
      <c r="AQ77" s="629" t="n"/>
    </row>
    <row r="78" ht="15.95" customHeight="1" s="520">
      <c r="A78" s="531" t="n"/>
      <c r="B78" s="629" t="n"/>
      <c r="C78" s="629" t="n"/>
      <c r="D78" s="629" t="n"/>
      <c r="E78" s="629" t="n"/>
      <c r="F78" s="629" t="n"/>
      <c r="G78" s="629" t="n"/>
      <c r="H78" s="629" t="n"/>
      <c r="I78" s="629" t="n"/>
      <c r="J78" s="629" t="n"/>
      <c r="K78" s="629" t="n"/>
      <c r="L78" s="629" t="n"/>
      <c r="M78" s="629" t="n"/>
      <c r="N78" s="629" t="n"/>
      <c r="O78" s="629" t="n"/>
      <c r="P78" s="629" t="n"/>
      <c r="Q78" s="629" t="n"/>
      <c r="R78" s="629" t="n"/>
      <c r="S78" s="629" t="n"/>
      <c r="T78" s="629" t="n"/>
      <c r="U78" s="629" t="n"/>
      <c r="V78" s="629" t="n"/>
      <c r="W78" s="629" t="n"/>
      <c r="X78" s="629" t="n"/>
      <c r="Y78" s="629" t="n"/>
      <c r="Z78" s="629" t="n"/>
      <c r="AA78" s="629" t="n"/>
      <c r="AB78" s="629" t="n"/>
      <c r="AC78" s="629" t="n"/>
      <c r="AD78" s="629" t="n"/>
      <c r="AE78" s="629" t="n"/>
      <c r="AF78" s="629" t="n"/>
      <c r="AG78" s="629" t="n"/>
      <c r="AH78" s="629" t="n"/>
      <c r="AI78" s="663" t="n"/>
      <c r="AJ78" s="629" t="n"/>
      <c r="AK78" s="663" t="n"/>
      <c r="AL78" s="629" t="n"/>
      <c r="AM78" s="629" t="n"/>
      <c r="AN78" s="629" t="n"/>
      <c r="AO78" s="629" t="n"/>
      <c r="AP78" s="629" t="n"/>
      <c r="AQ78" s="629" t="n"/>
    </row>
    <row r="79" ht="15.95" customHeight="1" s="520">
      <c r="A79" s="531" t="n"/>
      <c r="B79" s="629" t="n"/>
      <c r="C79" s="629" t="n"/>
      <c r="D79" s="629" t="n"/>
      <c r="E79" s="629" t="n"/>
      <c r="F79" s="629" t="n"/>
      <c r="G79" s="629" t="n"/>
      <c r="H79" s="629" t="n"/>
      <c r="I79" s="629" t="n"/>
      <c r="J79" s="629" t="n"/>
      <c r="K79" s="629" t="n"/>
      <c r="L79" s="629" t="n"/>
      <c r="M79" s="629" t="n"/>
      <c r="N79" s="629" t="n"/>
      <c r="O79" s="629" t="n"/>
      <c r="P79" s="629" t="n"/>
      <c r="Q79" s="629" t="n"/>
      <c r="R79" s="629" t="n"/>
      <c r="S79" s="629" t="n"/>
      <c r="T79" s="629" t="n"/>
      <c r="U79" s="629" t="n"/>
      <c r="V79" s="629" t="n"/>
      <c r="W79" s="629" t="n"/>
      <c r="X79" s="629" t="n"/>
      <c r="Y79" s="629" t="n"/>
      <c r="Z79" s="629" t="n"/>
      <c r="AA79" s="629" t="n"/>
      <c r="AB79" s="629" t="n"/>
      <c r="AC79" s="629" t="n"/>
      <c r="AD79" s="629" t="n"/>
      <c r="AE79" s="629" t="n"/>
      <c r="AF79" s="629" t="n"/>
      <c r="AG79" s="629" t="n"/>
      <c r="AH79" s="629" t="n"/>
      <c r="AI79" s="663" t="n"/>
      <c r="AJ79" s="629" t="n"/>
      <c r="AK79" s="663" t="n"/>
      <c r="AL79" s="629" t="n"/>
      <c r="AM79" s="629" t="n"/>
      <c r="AN79" s="629" t="n"/>
      <c r="AO79" s="629" t="n"/>
      <c r="AP79" s="629" t="n"/>
      <c r="AQ79" s="629" t="n"/>
    </row>
    <row r="80" ht="15.95" customHeight="1" s="520">
      <c r="A80" s="531" t="n"/>
      <c r="B80" s="629" t="n"/>
      <c r="C80" s="629" t="n"/>
      <c r="D80" s="629" t="n"/>
      <c r="E80" s="629" t="n"/>
      <c r="F80" s="629" t="n"/>
      <c r="G80" s="629" t="n"/>
      <c r="H80" s="629" t="n"/>
      <c r="I80" s="629" t="n"/>
      <c r="J80" s="629" t="n"/>
      <c r="K80" s="629" t="n"/>
      <c r="L80" s="629" t="n"/>
      <c r="M80" s="629" t="n"/>
      <c r="N80" s="629" t="n"/>
      <c r="O80" s="629" t="n"/>
      <c r="P80" s="629" t="n"/>
      <c r="Q80" s="629" t="n"/>
      <c r="R80" s="629" t="n"/>
      <c r="S80" s="629" t="n"/>
      <c r="T80" s="629" t="n"/>
      <c r="U80" s="629" t="n"/>
      <c r="V80" s="629" t="n"/>
      <c r="W80" s="629" t="n"/>
      <c r="X80" s="629" t="n"/>
      <c r="Y80" s="629" t="n"/>
      <c r="Z80" s="629" t="n"/>
      <c r="AA80" s="629" t="n"/>
      <c r="AB80" s="629" t="n"/>
      <c r="AC80" s="629" t="n"/>
      <c r="AD80" s="629" t="n"/>
      <c r="AE80" s="629" t="n"/>
      <c r="AF80" s="629" t="n"/>
      <c r="AG80" s="629" t="n"/>
      <c r="AH80" s="629" t="n"/>
      <c r="AI80" s="663" t="n"/>
      <c r="AJ80" s="629" t="n"/>
      <c r="AK80" s="663" t="n"/>
      <c r="AL80" s="629" t="n"/>
      <c r="AM80" s="629" t="n"/>
      <c r="AN80" s="629" t="n"/>
      <c r="AO80" s="629" t="n"/>
      <c r="AP80" s="629" t="n"/>
      <c r="AQ80" s="629" t="n"/>
    </row>
    <row r="81" ht="15.95" customHeight="1" s="520">
      <c r="A81" s="531" t="n"/>
      <c r="B81" s="629" t="n"/>
      <c r="C81" s="629" t="n"/>
      <c r="D81" s="629" t="n"/>
      <c r="E81" s="629" t="n"/>
      <c r="F81" s="629" t="n"/>
      <c r="G81" s="629" t="n"/>
      <c r="H81" s="629" t="n"/>
      <c r="I81" s="629" t="n"/>
      <c r="J81" s="629" t="n"/>
      <c r="K81" s="629" t="n"/>
      <c r="L81" s="629" t="n"/>
      <c r="M81" s="629" t="n"/>
      <c r="N81" s="629" t="n"/>
      <c r="O81" s="629" t="n"/>
      <c r="P81" s="629" t="n"/>
      <c r="Q81" s="629" t="n"/>
      <c r="R81" s="629" t="n"/>
      <c r="S81" s="629" t="n"/>
      <c r="T81" s="629" t="n"/>
      <c r="U81" s="629" t="n"/>
      <c r="V81" s="629" t="n"/>
      <c r="W81" s="629" t="n"/>
      <c r="X81" s="629" t="n"/>
      <c r="Y81" s="629" t="n"/>
      <c r="Z81" s="629" t="n"/>
      <c r="AA81" s="629" t="n"/>
      <c r="AB81" s="629" t="n"/>
      <c r="AC81" s="629" t="n"/>
      <c r="AD81" s="629" t="n"/>
      <c r="AE81" s="629" t="n"/>
      <c r="AF81" s="629" t="n"/>
      <c r="AG81" s="629" t="n"/>
      <c r="AH81" s="629" t="n"/>
      <c r="AI81" s="663" t="n"/>
      <c r="AJ81" s="629" t="n"/>
      <c r="AK81" s="663" t="n"/>
      <c r="AL81" s="629" t="n"/>
      <c r="AM81" s="629" t="n"/>
      <c r="AN81" s="629" t="n"/>
      <c r="AO81" s="629" t="n"/>
      <c r="AP81" s="629" t="n"/>
      <c r="AQ81" s="629" t="n"/>
    </row>
    <row r="82" ht="15.95" customHeight="1" s="520">
      <c r="A82" s="531" t="n"/>
      <c r="B82" s="629" t="n"/>
      <c r="C82" s="629" t="n"/>
      <c r="D82" s="629" t="n"/>
      <c r="E82" s="629" t="n"/>
      <c r="F82" s="629" t="n"/>
      <c r="G82" s="629" t="n"/>
      <c r="H82" s="629" t="n"/>
      <c r="I82" s="629" t="n"/>
      <c r="J82" s="629" t="n"/>
      <c r="K82" s="629" t="n"/>
      <c r="L82" s="629" t="n"/>
      <c r="M82" s="629" t="n"/>
      <c r="N82" s="629" t="n"/>
      <c r="O82" s="629" t="n"/>
      <c r="P82" s="629" t="n"/>
      <c r="Q82" s="629" t="n"/>
      <c r="R82" s="629" t="n"/>
      <c r="S82" s="629" t="n"/>
      <c r="T82" s="629" t="n"/>
      <c r="U82" s="629" t="n"/>
      <c r="V82" s="629" t="n"/>
      <c r="W82" s="629" t="n"/>
      <c r="X82" s="629" t="n"/>
      <c r="Y82" s="629" t="n"/>
      <c r="Z82" s="629" t="n"/>
      <c r="AA82" s="629" t="n"/>
      <c r="AB82" s="629" t="n"/>
      <c r="AC82" s="629" t="n"/>
      <c r="AD82" s="629" t="n"/>
      <c r="AE82" s="629" t="n"/>
      <c r="AF82" s="629" t="n"/>
      <c r="AG82" s="629" t="n"/>
      <c r="AH82" s="629" t="n"/>
      <c r="AI82" s="663" t="n"/>
      <c r="AJ82" s="629" t="n"/>
      <c r="AK82" s="663" t="n"/>
      <c r="AL82" s="629" t="n"/>
      <c r="AM82" s="629" t="n"/>
      <c r="AN82" s="629" t="n"/>
      <c r="AO82" s="629" t="n"/>
      <c r="AP82" s="629" t="n"/>
    </row>
    <row r="83" ht="15.95" customHeight="1" s="520"/>
    <row r="84" ht="15.95" customHeight="1" s="520">
      <c r="K84" s="518" t="n"/>
      <c r="L84" s="518" t="n"/>
      <c r="M84" s="518" t="n"/>
    </row>
    <row r="85" ht="15.95" customHeight="1" s="520"/>
    <row r="86" ht="15.95" customHeight="1" s="520"/>
    <row r="87" ht="15.95" customFormat="1" customHeight="1" s="517">
      <c r="B87" s="518" t="n"/>
      <c r="C87" s="518" t="n"/>
      <c r="D87" s="518" t="n"/>
      <c r="E87" s="518" t="n"/>
      <c r="F87" s="518" t="n"/>
      <c r="G87" s="518" t="n"/>
      <c r="H87" s="518" t="n"/>
      <c r="I87" s="518" t="n"/>
      <c r="J87" s="518" t="n"/>
      <c r="K87" s="518" t="n"/>
      <c r="L87" s="518" t="n"/>
      <c r="M87" s="518" t="n"/>
      <c r="N87" s="518" t="n"/>
      <c r="O87" s="518" t="n"/>
      <c r="P87" s="518" t="n"/>
      <c r="Q87" s="518" t="n"/>
      <c r="R87" s="518" t="n"/>
      <c r="S87" s="518" t="n"/>
      <c r="T87" s="518" t="n"/>
      <c r="U87" s="518" t="n"/>
      <c r="V87" s="518" t="n"/>
      <c r="W87" s="518" t="n"/>
      <c r="X87" s="518" t="n"/>
      <c r="Y87" s="518" t="n"/>
      <c r="Z87" s="518" t="n"/>
      <c r="AA87" s="518" t="n"/>
      <c r="AB87" s="518" t="n"/>
      <c r="AC87" s="518" t="n"/>
      <c r="AD87" s="518" t="n"/>
      <c r="AE87" s="518" t="n"/>
      <c r="AF87" s="518" t="n"/>
      <c r="AG87" s="518" t="n"/>
      <c r="AH87" s="518" t="n"/>
      <c r="AI87" s="519" t="n"/>
      <c r="AJ87" s="518" t="n"/>
      <c r="AK87" s="519" t="n"/>
      <c r="AL87" s="518" t="n"/>
      <c r="AM87" s="518" t="n"/>
      <c r="AN87" s="518" t="n"/>
      <c r="AO87" s="518" t="n"/>
      <c r="AP87" s="518" t="n"/>
      <c r="AQ87" s="518" t="n"/>
      <c r="AR87" s="518" t="n"/>
    </row>
    <row r="88" ht="15.95" customFormat="1" customHeight="1" s="517">
      <c r="B88" s="518" t="n"/>
      <c r="C88" s="518" t="n"/>
      <c r="D88" s="518" t="n"/>
      <c r="E88" s="518" t="n"/>
      <c r="F88" s="518" t="n"/>
      <c r="G88" s="518" t="n"/>
      <c r="H88" s="518" t="n"/>
      <c r="I88" s="518" t="n"/>
      <c r="J88" s="518" t="n"/>
      <c r="K88" s="518" t="n"/>
      <c r="L88" s="518" t="n"/>
      <c r="M88" s="518" t="n"/>
      <c r="N88" s="518" t="n"/>
      <c r="O88" s="518" t="n"/>
      <c r="P88" s="518" t="n"/>
      <c r="Q88" s="518" t="n"/>
      <c r="R88" s="518" t="n"/>
      <c r="S88" s="518" t="n"/>
      <c r="T88" s="518" t="n"/>
      <c r="U88" s="518" t="n"/>
      <c r="V88" s="518" t="n"/>
      <c r="W88" s="518" t="n"/>
      <c r="X88" s="518" t="n"/>
      <c r="Y88" s="518" t="n"/>
      <c r="Z88" s="518" t="n"/>
      <c r="AA88" s="518" t="n"/>
      <c r="AB88" s="518" t="n"/>
      <c r="AC88" s="518" t="n"/>
      <c r="AD88" s="518" t="n"/>
      <c r="AE88" s="518" t="n"/>
      <c r="AF88" s="518" t="n"/>
      <c r="AG88" s="518" t="n"/>
      <c r="AH88" s="518" t="n"/>
      <c r="AI88" s="519" t="n"/>
      <c r="AJ88" s="518" t="n"/>
      <c r="AK88" s="519" t="n"/>
      <c r="AL88" s="518" t="n"/>
      <c r="AM88" s="518" t="n"/>
      <c r="AN88" s="518" t="n"/>
      <c r="AO88" s="518" t="n"/>
      <c r="AP88" s="518" t="n"/>
      <c r="AQ88" s="518" t="n"/>
      <c r="AR88" s="518" t="n"/>
    </row>
    <row r="89" ht="15.95" customFormat="1" customHeight="1" s="517">
      <c r="B89" s="518" t="n"/>
      <c r="C89" s="518" t="n"/>
      <c r="D89" s="518" t="n"/>
      <c r="E89" s="518" t="n"/>
      <c r="F89" s="518" t="n"/>
      <c r="G89" s="518" t="n"/>
      <c r="H89" s="518" t="n"/>
      <c r="I89" s="518" t="n"/>
      <c r="J89" s="518" t="n"/>
      <c r="K89" s="518" t="n"/>
      <c r="L89" s="518" t="n"/>
      <c r="M89" s="518" t="n"/>
      <c r="N89" s="518" t="n"/>
      <c r="O89" s="518" t="n"/>
      <c r="P89" s="518" t="n"/>
      <c r="Q89" s="518" t="n"/>
      <c r="R89" s="518" t="n"/>
      <c r="S89" s="518" t="n"/>
      <c r="T89" s="518" t="n"/>
      <c r="U89" s="518" t="n"/>
      <c r="V89" s="518" t="n"/>
      <c r="W89" s="518" t="n"/>
      <c r="X89" s="518" t="n"/>
      <c r="Y89" s="518" t="n"/>
      <c r="Z89" s="518" t="n"/>
      <c r="AA89" s="518" t="n"/>
      <c r="AB89" s="518" t="n"/>
      <c r="AC89" s="518" t="n"/>
      <c r="AD89" s="518" t="n"/>
      <c r="AE89" s="518" t="n"/>
      <c r="AF89" s="518" t="n"/>
      <c r="AG89" s="518" t="n"/>
      <c r="AH89" s="518" t="n"/>
      <c r="AI89" s="519" t="n"/>
      <c r="AJ89" s="518" t="n"/>
      <c r="AK89" s="519" t="n"/>
      <c r="AL89" s="518" t="n"/>
      <c r="AM89" s="518" t="n"/>
      <c r="AN89" s="518" t="n"/>
      <c r="AO89" s="518" t="n"/>
      <c r="AP89" s="518" t="n"/>
      <c r="AQ89" s="518" t="n"/>
      <c r="AR89" s="518" t="n"/>
    </row>
  </sheetData>
  <mergeCells count="44">
    <mergeCell ref="D18:G18"/>
    <mergeCell ref="AB9:AD9"/>
    <mergeCell ref="AB27:AD27"/>
    <mergeCell ref="F2:H2"/>
    <mergeCell ref="AB36:AD36"/>
    <mergeCell ref="U7:W7"/>
    <mergeCell ref="D8:F8"/>
    <mergeCell ref="B1:C1"/>
    <mergeCell ref="E31:F31"/>
    <mergeCell ref="AB25:AD26"/>
    <mergeCell ref="F1:H1"/>
    <mergeCell ref="AB33:AD33"/>
    <mergeCell ref="D4:E4"/>
    <mergeCell ref="E32:F32"/>
    <mergeCell ref="AB7:AD8"/>
    <mergeCell ref="R7:T7"/>
    <mergeCell ref="B4:C4"/>
    <mergeCell ref="C9:C15"/>
    <mergeCell ref="L7:M7"/>
    <mergeCell ref="AB37:AD38"/>
    <mergeCell ref="C6:G6"/>
    <mergeCell ref="N7:O7"/>
    <mergeCell ref="B3:C3"/>
    <mergeCell ref="AB31:AD31"/>
    <mergeCell ref="C7:F7"/>
    <mergeCell ref="X7:X8"/>
    <mergeCell ref="I7:I8"/>
    <mergeCell ref="Z7:Z8"/>
    <mergeCell ref="B2:C2"/>
    <mergeCell ref="Y7:Y8"/>
    <mergeCell ref="AA7:AA8"/>
    <mergeCell ref="AB13:AD13"/>
    <mergeCell ref="AB34:AD34"/>
    <mergeCell ref="P7:Q7"/>
    <mergeCell ref="AB28:AD28"/>
    <mergeCell ref="J7:K7"/>
    <mergeCell ref="F4:H4"/>
    <mergeCell ref="AB30:AD30"/>
    <mergeCell ref="D19:F19"/>
    <mergeCell ref="AB29:AD29"/>
    <mergeCell ref="AB32:AD32"/>
    <mergeCell ref="D16:G16"/>
    <mergeCell ref="AB35:AD35"/>
    <mergeCell ref="F3:H3"/>
  </mergeCells>
  <printOptions horizontalCentered="1" verticalCentered="0" headings="0" gridLines="0" gridLinesSet="1"/>
  <pageMargins left="0.747916666666667" right="0.747916666666667" top="0.590277777777778" bottom="0.59027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96484375" defaultRowHeight="13.5" zeroHeight="0" outlineLevelRow="0"/>
  <cols>
    <col width="8.880000000000001" customWidth="1" style="924" min="2" max="2"/>
    <col width="10.44" customWidth="1" style="924" min="3" max="3"/>
    <col width="9.109999999999999" customWidth="1" style="924" min="4" max="4"/>
    <col width="8.880000000000001" customWidth="1" style="924" min="5" max="5"/>
    <col width="10.55" customWidth="1" style="925" min="8" max="8"/>
  </cols>
  <sheetData>
    <row r="1" ht="16.5" customHeight="1" s="520">
      <c r="A1" s="926" t="inlineStr">
        <is>
          <t>▣ 토지내역</t>
        </is>
      </c>
    </row>
    <row r="2" ht="29.25" customHeight="1" s="520">
      <c r="A2" s="927" t="inlineStr">
        <is>
          <t>지번</t>
        </is>
      </c>
      <c r="B2" s="522" t="n"/>
      <c r="C2" s="928" t="inlineStr">
        <is>
          <t>sqm</t>
        </is>
      </c>
      <c r="D2" s="928" t="inlineStr">
        <is>
          <t>py</t>
        </is>
      </c>
      <c r="E2" s="929" t="inlineStr">
        <is>
          <t>공시지가
(sqm당)</t>
        </is>
      </c>
      <c r="F2" s="930" t="inlineStr">
        <is>
          <t>공시지가
평당가</t>
        </is>
      </c>
      <c r="G2" s="930" t="inlineStr">
        <is>
          <t>실거래가</t>
        </is>
      </c>
      <c r="H2" s="930" t="inlineStr">
        <is>
          <t>실거래평당가</t>
        </is>
      </c>
      <c r="I2" s="931" t="inlineStr">
        <is>
          <t>비고</t>
        </is>
      </c>
    </row>
    <row r="3" ht="18.75" customFormat="1" customHeight="1" s="932">
      <c r="A3" s="933" t="n"/>
      <c r="B3" s="934" t="n"/>
      <c r="C3" s="935" t="n"/>
      <c r="D3" s="935" t="n"/>
      <c r="E3" s="936" t="n"/>
      <c r="F3" s="937" t="n"/>
      <c r="G3" s="937" t="n"/>
      <c r="H3" s="937" t="n"/>
      <c r="I3" s="938" t="n"/>
    </row>
    <row r="4" ht="18.75" customFormat="1" customHeight="1" s="932">
      <c r="A4" s="933" t="n"/>
      <c r="B4" s="934" t="n"/>
      <c r="C4" s="935" t="n"/>
      <c r="D4" s="935" t="n"/>
      <c r="E4" s="936" t="n"/>
      <c r="F4" s="937" t="n"/>
      <c r="G4" s="937" t="n"/>
      <c r="H4" s="937" t="n"/>
      <c r="I4" s="938" t="n"/>
    </row>
    <row r="5" ht="18.75" customFormat="1" customHeight="1" s="932">
      <c r="A5" s="933" t="n"/>
      <c r="B5" s="934" t="n"/>
      <c r="C5" s="935" t="n"/>
      <c r="D5" s="935" t="n"/>
      <c r="E5" s="936" t="n"/>
      <c r="F5" s="937" t="n"/>
      <c r="G5" s="937" t="n"/>
      <c r="H5" s="937" t="n"/>
      <c r="I5" s="938" t="n"/>
    </row>
    <row r="6" ht="18.75" customFormat="1" customHeight="1" s="932">
      <c r="A6" s="933" t="n"/>
      <c r="B6" s="934" t="n"/>
      <c r="C6" s="935" t="n"/>
      <c r="D6" s="935" t="n"/>
      <c r="E6" s="936" t="n"/>
      <c r="F6" s="937" t="n"/>
      <c r="G6" s="937" t="n"/>
      <c r="H6" s="937" t="n"/>
      <c r="I6" s="938" t="n"/>
    </row>
    <row r="7" ht="18.75" customFormat="1" customHeight="1" s="932">
      <c r="A7" s="933" t="n"/>
      <c r="B7" s="934" t="n"/>
      <c r="C7" s="935" t="n"/>
      <c r="D7" s="935" t="n"/>
      <c r="E7" s="936" t="n"/>
      <c r="F7" s="937" t="n"/>
      <c r="G7" s="937" t="n"/>
      <c r="H7" s="937" t="n"/>
      <c r="I7" s="938" t="n"/>
    </row>
    <row r="8" ht="18.75" customFormat="1" customHeight="1" s="932">
      <c r="A8" s="933" t="n"/>
      <c r="B8" s="934" t="n"/>
      <c r="C8" s="935" t="n"/>
      <c r="D8" s="935" t="n"/>
      <c r="E8" s="936" t="n"/>
      <c r="F8" s="937" t="n"/>
      <c r="G8" s="937" t="n"/>
      <c r="H8" s="937" t="n"/>
      <c r="I8" s="938" t="n"/>
    </row>
    <row r="9" ht="18.75" customFormat="1" customHeight="1" s="932">
      <c r="A9" s="933" t="n"/>
      <c r="B9" s="934" t="n"/>
      <c r="C9" s="935" t="n"/>
      <c r="D9" s="935" t="n"/>
      <c r="E9" s="936" t="n"/>
      <c r="F9" s="937" t="n"/>
      <c r="G9" s="937" t="n"/>
      <c r="H9" s="937" t="n"/>
      <c r="I9" s="938" t="n"/>
    </row>
    <row r="10" ht="18.75" customFormat="1" customHeight="1" s="932">
      <c r="A10" s="933" t="n"/>
      <c r="B10" s="934" t="n"/>
      <c r="C10" s="935" t="n"/>
      <c r="D10" s="935" t="n"/>
      <c r="E10" s="936" t="n"/>
      <c r="F10" s="937" t="n"/>
      <c r="G10" s="937" t="n"/>
      <c r="H10" s="937" t="n"/>
      <c r="I10" s="938" t="n"/>
    </row>
    <row r="11" ht="18.75" customFormat="1" customHeight="1" s="932">
      <c r="A11" s="933" t="n"/>
      <c r="B11" s="934" t="n"/>
      <c r="C11" s="935" t="n"/>
      <c r="D11" s="935" t="n"/>
      <c r="E11" s="936" t="n"/>
      <c r="F11" s="937" t="n"/>
      <c r="G11" s="937" t="n"/>
      <c r="H11" s="937" t="n"/>
      <c r="I11" s="938" t="n"/>
    </row>
    <row r="12" ht="18.75" customFormat="1" customHeight="1" s="932">
      <c r="A12" s="933" t="n"/>
      <c r="B12" s="934" t="n"/>
      <c r="C12" s="935" t="n"/>
      <c r="D12" s="935" t="n"/>
      <c r="E12" s="936" t="n"/>
      <c r="F12" s="937" t="n"/>
      <c r="G12" s="937" t="n"/>
      <c r="H12" s="937" t="n"/>
      <c r="I12" s="938" t="n"/>
    </row>
    <row r="13" ht="18.75" customFormat="1" customHeight="1" s="932">
      <c r="A13" s="933" t="n"/>
      <c r="B13" s="934" t="n"/>
      <c r="C13" s="935" t="n"/>
      <c r="D13" s="935" t="n"/>
      <c r="E13" s="936" t="n"/>
      <c r="F13" s="937" t="n"/>
      <c r="G13" s="937" t="n"/>
      <c r="H13" s="937" t="n"/>
      <c r="I13" s="938" t="n"/>
    </row>
    <row r="14" ht="18.75" customFormat="1" customHeight="1" s="932">
      <c r="A14" s="933" t="n"/>
      <c r="B14" s="934" t="n"/>
      <c r="C14" s="935" t="n"/>
      <c r="D14" s="935" t="n"/>
      <c r="E14" s="936" t="n"/>
      <c r="F14" s="937" t="n"/>
      <c r="G14" s="937" t="n"/>
      <c r="H14" s="937" t="n"/>
      <c r="I14" s="938" t="n"/>
    </row>
    <row r="15" ht="18.75" customFormat="1" customHeight="1" s="932">
      <c r="A15" s="933" t="n"/>
      <c r="B15" s="934" t="n"/>
      <c r="C15" s="935" t="n"/>
      <c r="D15" s="935" t="n"/>
      <c r="E15" s="936" t="n"/>
      <c r="F15" s="937" t="n"/>
      <c r="G15" s="937" t="n"/>
      <c r="H15" s="937" t="n"/>
      <c r="I15" s="938" t="n"/>
    </row>
    <row r="16" ht="18.75" customFormat="1" customHeight="1" s="932">
      <c r="A16" s="933" t="n"/>
      <c r="B16" s="934" t="n"/>
      <c r="C16" s="935" t="n"/>
      <c r="D16" s="935" t="n"/>
      <c r="E16" s="936" t="n"/>
      <c r="F16" s="937" t="n"/>
      <c r="G16" s="937" t="n"/>
      <c r="H16" s="937" t="n"/>
      <c r="I16" s="938" t="n"/>
    </row>
    <row r="17" ht="18.75" customFormat="1" customHeight="1" s="932">
      <c r="A17" s="933" t="n"/>
      <c r="B17" s="934" t="n"/>
      <c r="C17" s="935" t="n"/>
      <c r="D17" s="935" t="n"/>
      <c r="E17" s="936" t="n"/>
      <c r="F17" s="937" t="n"/>
      <c r="G17" s="937" t="n"/>
      <c r="H17" s="937" t="n"/>
      <c r="I17" s="938" t="n"/>
    </row>
    <row r="18" ht="18.75" customFormat="1" customHeight="1" s="932">
      <c r="A18" s="933" t="n"/>
      <c r="B18" s="934" t="n"/>
      <c r="C18" s="935" t="n"/>
      <c r="D18" s="935" t="n"/>
      <c r="E18" s="936" t="n"/>
      <c r="F18" s="937" t="n"/>
      <c r="G18" s="937" t="n"/>
      <c r="H18" s="937" t="n"/>
      <c r="I18" s="938" t="n"/>
    </row>
    <row r="19" ht="18.75" customFormat="1" customHeight="1" s="932">
      <c r="A19" s="933" t="n"/>
      <c r="B19" s="934" t="n"/>
      <c r="C19" s="935" t="n"/>
      <c r="D19" s="935" t="n"/>
      <c r="E19" s="936" t="n"/>
      <c r="F19" s="937" t="n"/>
      <c r="G19" s="937" t="n"/>
      <c r="H19" s="937" t="n"/>
      <c r="I19" s="938" t="n"/>
    </row>
    <row r="20" ht="18.75" customFormat="1" customHeight="1" s="932">
      <c r="A20" s="933" t="n"/>
      <c r="B20" s="934" t="n"/>
      <c r="C20" s="935" t="n"/>
      <c r="D20" s="935" t="n"/>
      <c r="E20" s="936" t="n"/>
      <c r="F20" s="937" t="n"/>
      <c r="G20" s="937" t="n"/>
      <c r="H20" s="937" t="n"/>
      <c r="I20" s="938" t="n"/>
    </row>
    <row r="21" ht="18.75" customFormat="1" customHeight="1" s="932">
      <c r="A21" s="933" t="n"/>
      <c r="B21" s="934" t="n"/>
      <c r="C21" s="935" t="n"/>
      <c r="D21" s="935" t="n"/>
      <c r="E21" s="936" t="n"/>
      <c r="F21" s="937" t="n"/>
      <c r="G21" s="937" t="n"/>
      <c r="H21" s="937" t="n"/>
      <c r="I21" s="938" t="n"/>
    </row>
    <row r="22" ht="18.75" customFormat="1" customHeight="1" s="932">
      <c r="A22" s="933" t="n"/>
      <c r="B22" s="934" t="n"/>
      <c r="C22" s="935" t="n"/>
      <c r="D22" s="935" t="n"/>
      <c r="E22" s="936" t="n"/>
      <c r="F22" s="937" t="n"/>
      <c r="G22" s="937" t="n"/>
      <c r="H22" s="937" t="n"/>
      <c r="I22" s="938" t="n"/>
    </row>
    <row r="23" ht="18.75" customFormat="1" customHeight="1" s="932">
      <c r="A23" s="933" t="n"/>
      <c r="B23" s="934" t="n"/>
      <c r="C23" s="935" t="n"/>
      <c r="D23" s="935" t="n"/>
      <c r="E23" s="936" t="n"/>
      <c r="F23" s="937" t="n"/>
      <c r="G23" s="937" t="n"/>
      <c r="H23" s="937" t="n"/>
      <c r="I23" s="938" t="n"/>
    </row>
    <row r="24" ht="18.75" customFormat="1" customHeight="1" s="932">
      <c r="A24" s="933" t="n"/>
      <c r="B24" s="934" t="n"/>
      <c r="C24" s="935" t="n"/>
      <c r="D24" s="935" t="n"/>
      <c r="E24" s="936" t="n"/>
      <c r="F24" s="937" t="n"/>
      <c r="G24" s="937" t="n"/>
      <c r="H24" s="937" t="n"/>
      <c r="I24" s="938" t="n"/>
    </row>
    <row r="25" ht="18.75" customFormat="1" customHeight="1" s="932">
      <c r="A25" s="933" t="n"/>
      <c r="B25" s="934" t="n"/>
      <c r="C25" s="935" t="n"/>
      <c r="D25" s="935" t="n"/>
      <c r="E25" s="936" t="n"/>
      <c r="F25" s="937" t="n"/>
      <c r="G25" s="937" t="n"/>
      <c r="H25" s="937" t="n"/>
      <c r="I25" s="938" t="n"/>
    </row>
    <row r="26" ht="18.75" customFormat="1" customHeight="1" s="932">
      <c r="A26" s="933" t="n"/>
      <c r="B26" s="934" t="n"/>
      <c r="C26" s="935" t="n"/>
      <c r="D26" s="935" t="n"/>
      <c r="E26" s="936" t="n"/>
      <c r="F26" s="937" t="n"/>
      <c r="G26" s="937" t="n"/>
      <c r="H26" s="937" t="n"/>
      <c r="I26" s="938" t="n"/>
    </row>
    <row r="27" ht="18.75" customFormat="1" customHeight="1" s="932">
      <c r="A27" s="933" t="n"/>
      <c r="B27" s="934" t="n"/>
      <c r="C27" s="935" t="n"/>
      <c r="D27" s="935" t="n"/>
      <c r="E27" s="936" t="n"/>
      <c r="F27" s="937" t="n"/>
      <c r="G27" s="937" t="n"/>
      <c r="H27" s="937" t="n"/>
      <c r="I27" s="938" t="n"/>
    </row>
    <row r="28" ht="18.75" customFormat="1" customHeight="1" s="932">
      <c r="A28" s="933" t="n"/>
      <c r="B28" s="934" t="n"/>
      <c r="C28" s="935" t="n"/>
      <c r="D28" s="935" t="n"/>
      <c r="E28" s="936" t="n"/>
      <c r="F28" s="937" t="n"/>
      <c r="G28" s="937" t="n"/>
      <c r="H28" s="937" t="n"/>
      <c r="I28" s="938" t="n"/>
    </row>
    <row r="29" ht="18.75" customFormat="1" customHeight="1" s="932">
      <c r="A29" s="927" t="inlineStr">
        <is>
          <t>합계</t>
        </is>
      </c>
      <c r="B29" s="522" t="n"/>
      <c r="C29" s="939">
        <f>SUM(C3:C28)</f>
        <v/>
      </c>
      <c r="D29" s="939">
        <f>SUM(D3:D28)</f>
        <v/>
      </c>
      <c r="E29" s="940" t="n"/>
      <c r="F29" s="941" t="n"/>
      <c r="G29" s="941" t="n"/>
      <c r="H29" s="941" t="n"/>
      <c r="I29" s="942" t="n"/>
    </row>
    <row r="30"/>
    <row r="31" ht="13.5" customHeight="1" s="520">
      <c r="C31" s="924" t="n"/>
    </row>
    <row r="32"/>
    <row r="33" ht="13.5" customHeight="1" s="520">
      <c r="C33" s="924" t="n"/>
      <c r="D33" s="924" t="n"/>
    </row>
    <row r="34" ht="13.5" customHeight="1" s="520">
      <c r="C34" s="924" t="n"/>
      <c r="D34" s="924" t="n"/>
    </row>
    <row r="35" ht="13.5" customHeight="1" s="520">
      <c r="C35" s="924" t="n"/>
    </row>
    <row r="36"/>
    <row r="37"/>
    <row r="38"/>
    <row r="39"/>
    <row r="40"/>
  </sheetData>
  <mergeCells count="2">
    <mergeCell ref="A2:B2"/>
    <mergeCell ref="A29:B2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이정희</dc:creator>
  <dc:language xmlns:dc="http://purl.org/dc/elements/1.1/">en-US</dc:language>
  <dcterms:created xmlns:dcterms="http://purl.org/dc/terms/" xmlns:xsi="http://www.w3.org/2001/XMLSchema-instance" xsi:type="dcterms:W3CDTF">2001-10-18T09:55:47Z</dcterms:created>
  <dcterms:modified xmlns:dcterms="http://purl.org/dc/terms/" xmlns:xsi="http://www.w3.org/2001/XMLSchema-instance" xsi:type="dcterms:W3CDTF">2026-10-29T01:57:16Z</dcterms:modified>
  <cp:lastModifiedBy>이 지상</cp:lastModifiedBy>
  <cp:revision>0</cp:revision>
  <cp:lastPrinted>2023-12-12T17:37:18Z</cp:lastPrinted>
</cp:coreProperties>
</file>